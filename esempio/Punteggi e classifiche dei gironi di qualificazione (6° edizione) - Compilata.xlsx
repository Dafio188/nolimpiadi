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cumenti\Immobili\Milano\Mille 26\Mio appartamento\Tornei\Nolimpiadi\2024-06-19 - Edizione 6\"/>
    </mc:Choice>
  </mc:AlternateContent>
  <xr:revisionPtr revIDLastSave="0" documentId="13_ncr:1_{6CB3723E-5442-48DD-A706-9D12D609A7E5}" xr6:coauthVersionLast="47" xr6:coauthVersionMax="47" xr10:uidLastSave="{00000000-0000-0000-0000-000000000000}"/>
  <bookViews>
    <workbookView xWindow="-260" yWindow="-260" windowWidth="26120" windowHeight="15800" tabRatio="287" xr2:uid="{7D68D33B-EF62-4E21-9A63-DDCC32D95CAD}"/>
  </bookViews>
  <sheets>
    <sheet name="Gironi di qualificazione" sheetId="1" r:id="rId1"/>
    <sheet name="Gironi conclusivi" sheetId="2" r:id="rId2"/>
    <sheet name="Foglio1" sheetId="3" r:id="rId3"/>
  </sheets>
  <definedNames>
    <definedName name="_xlnm.Print_Area" localSheetId="0">'Gironi di qualificazione'!$C$3:$BG$193,'Gironi di qualificazione'!$B$195:$BF$276,'Gironi di qualificazione'!$B$288:$BF$346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61" i="1" l="1"/>
  <c r="J251" i="1"/>
  <c r="I251" i="1"/>
  <c r="I250" i="1"/>
  <c r="J249" i="1"/>
  <c r="J248" i="1"/>
  <c r="J247" i="1"/>
  <c r="I246" i="1"/>
  <c r="I245" i="1"/>
  <c r="I247" i="1" l="1"/>
  <c r="I248" i="1"/>
  <c r="J246" i="1"/>
  <c r="J250" i="1"/>
  <c r="I249" i="1"/>
  <c r="J245" i="1"/>
  <c r="BE161" i="1" l="1"/>
  <c r="BC161" i="1"/>
  <c r="BA161" i="1"/>
  <c r="AY161" i="1"/>
  <c r="AW161" i="1"/>
  <c r="AU161" i="1"/>
  <c r="AS161" i="1"/>
  <c r="AQ161" i="1"/>
  <c r="AO161" i="1"/>
  <c r="AM161" i="1"/>
  <c r="AK161" i="1"/>
  <c r="AI161" i="1"/>
  <c r="AG161" i="1"/>
  <c r="AE161" i="1"/>
  <c r="AC161" i="1"/>
  <c r="Y161" i="1"/>
  <c r="W161" i="1"/>
  <c r="U161" i="1"/>
  <c r="Q161" i="1"/>
  <c r="O161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K161" i="1"/>
  <c r="BB161" i="1" l="1"/>
  <c r="AP161" i="1"/>
  <c r="AT161" i="1"/>
  <c r="BF161" i="1"/>
  <c r="AD161" i="1"/>
  <c r="AL161" i="1"/>
  <c r="V161" i="1"/>
  <c r="AV161" i="1"/>
  <c r="BD161" i="1"/>
  <c r="AH161" i="1"/>
  <c r="AZ161" i="1"/>
  <c r="Z161" i="1"/>
  <c r="AX161" i="1"/>
  <c r="X161" i="1"/>
  <c r="AR161" i="1"/>
  <c r="AN161" i="1"/>
  <c r="AJ161" i="1"/>
  <c r="AF161" i="1"/>
  <c r="AB161" i="1"/>
  <c r="L161" i="1"/>
  <c r="T161" i="1"/>
  <c r="P161" i="1"/>
  <c r="N161" i="1"/>
  <c r="R161" i="1"/>
  <c r="M161" i="1" l="1"/>
  <c r="W23" i="1"/>
  <c r="W18" i="1"/>
  <c r="W16" i="1"/>
  <c r="S161" i="1"/>
  <c r="BC118" i="1" l="1"/>
  <c r="BC116" i="1"/>
  <c r="AY119" i="1"/>
  <c r="AY114" i="1"/>
  <c r="AU119" i="1"/>
  <c r="AU117" i="1"/>
  <c r="AQ118" i="1"/>
  <c r="AQ112" i="1"/>
  <c r="AM116" i="1"/>
  <c r="AM115" i="1"/>
  <c r="AM113" i="1"/>
  <c r="AI117" i="1"/>
  <c r="AI115" i="1"/>
  <c r="K117" i="1"/>
  <c r="K115" i="1"/>
  <c r="K112" i="1"/>
  <c r="O119" i="1"/>
  <c r="O116" i="1"/>
  <c r="O114" i="1"/>
  <c r="O113" i="1"/>
  <c r="S117" i="1"/>
  <c r="S114" i="1"/>
  <c r="S113" i="1"/>
  <c r="S112" i="1"/>
  <c r="W119" i="1"/>
  <c r="W118" i="1"/>
  <c r="W115" i="1"/>
  <c r="AE118" i="1"/>
  <c r="AE113" i="1"/>
  <c r="AE112" i="1"/>
  <c r="AA116" i="1"/>
  <c r="AA114" i="1"/>
  <c r="BF151" i="1"/>
  <c r="BB149" i="1"/>
  <c r="AX148" i="1"/>
  <c r="AT147" i="1"/>
  <c r="AT145" i="1"/>
  <c r="AP150" i="1"/>
  <c r="AL150" i="1"/>
  <c r="AL144" i="1"/>
  <c r="AH151" i="1"/>
  <c r="AH159" i="1" s="1"/>
  <c r="AH146" i="1"/>
  <c r="AD145" i="1"/>
  <c r="Z149" i="1"/>
  <c r="Z144" i="1"/>
  <c r="V148" i="1"/>
  <c r="N146" i="1"/>
  <c r="R147" i="1"/>
  <c r="R155" i="1" s="1"/>
  <c r="BE93" i="1"/>
  <c r="BE91" i="1"/>
  <c r="BA94" i="1"/>
  <c r="AW88" i="1"/>
  <c r="AO94" i="1"/>
  <c r="AO91" i="1"/>
  <c r="AK90" i="1"/>
  <c r="AG93" i="1"/>
  <c r="AG90" i="1"/>
  <c r="AC92" i="1"/>
  <c r="Y89" i="1"/>
  <c r="U92" i="1"/>
  <c r="U89" i="1"/>
  <c r="Q95" i="1"/>
  <c r="M95" i="1"/>
  <c r="M88" i="1"/>
  <c r="BE141" i="1"/>
  <c r="BA139" i="1"/>
  <c r="BA136" i="1"/>
  <c r="AW138" i="1"/>
  <c r="AW137" i="1"/>
  <c r="AS140" i="1"/>
  <c r="AS138" i="1"/>
  <c r="AO143" i="1"/>
  <c r="AK143" i="1"/>
  <c r="AG139" i="1"/>
  <c r="AC141" i="1"/>
  <c r="Y140" i="1"/>
  <c r="Y137" i="1"/>
  <c r="U142" i="1"/>
  <c r="Q136" i="1"/>
  <c r="M142" i="1"/>
  <c r="BD121" i="1"/>
  <c r="BD123" i="1"/>
  <c r="AZ126" i="1"/>
  <c r="AZ121" i="1"/>
  <c r="AV126" i="1"/>
  <c r="AV120" i="1"/>
  <c r="AR127" i="1"/>
  <c r="AN122" i="1"/>
  <c r="AJ124" i="1"/>
  <c r="AF125" i="1"/>
  <c r="AB127" i="1"/>
  <c r="AB120" i="1"/>
  <c r="X122" i="1"/>
  <c r="T123" i="1"/>
  <c r="P125" i="1"/>
  <c r="L124" i="1"/>
  <c r="R101" i="1"/>
  <c r="BF96" i="1"/>
  <c r="BF98" i="1"/>
  <c r="BB100" i="1"/>
  <c r="BB97" i="1"/>
  <c r="AX102" i="1"/>
  <c r="AX110" i="1" s="1"/>
  <c r="AT99" i="1"/>
  <c r="AP103" i="1"/>
  <c r="AP111" i="1" s="1"/>
  <c r="AP101" i="1"/>
  <c r="AP109" i="1" s="1"/>
  <c r="AL99" i="1"/>
  <c r="AD103" i="1"/>
  <c r="AD97" i="1"/>
  <c r="V102" i="1"/>
  <c r="V98" i="1"/>
  <c r="V106" i="1" s="1"/>
  <c r="N100" i="1"/>
  <c r="R96" i="1"/>
  <c r="R104" i="1" s="1"/>
  <c r="BF55" i="1"/>
  <c r="BB53" i="1"/>
  <c r="AX52" i="1"/>
  <c r="AX50" i="1"/>
  <c r="AT51" i="1"/>
  <c r="AP54" i="1"/>
  <c r="AL53" i="1"/>
  <c r="AH50" i="1"/>
  <c r="AH48" i="1"/>
  <c r="AD49" i="1"/>
  <c r="Z54" i="1"/>
  <c r="Z52" i="1"/>
  <c r="V49" i="1"/>
  <c r="N51" i="1"/>
  <c r="R48" i="1"/>
  <c r="N55" i="1"/>
  <c r="N63" i="1" s="1"/>
  <c r="AA69" i="1"/>
  <c r="X79" i="1"/>
  <c r="T79" i="1"/>
  <c r="L78" i="1"/>
  <c r="AJ77" i="1"/>
  <c r="AZ77" i="1"/>
  <c r="BD76" i="1"/>
  <c r="X76" i="1"/>
  <c r="P75" i="1"/>
  <c r="AF75" i="1"/>
  <c r="AR74" i="1"/>
  <c r="AB74" i="1"/>
  <c r="P73" i="1"/>
  <c r="L73" i="1"/>
  <c r="AF72" i="1"/>
  <c r="AU71" i="1"/>
  <c r="BC71" i="1"/>
  <c r="AY71" i="1"/>
  <c r="O70" i="1"/>
  <c r="AA70" i="1"/>
  <c r="AI71" i="1"/>
  <c r="AI70" i="1"/>
  <c r="BC70" i="1"/>
  <c r="AQ69" i="1"/>
  <c r="S69" i="1"/>
  <c r="K69" i="1"/>
  <c r="AA67" i="1"/>
  <c r="W67" i="1"/>
  <c r="AU67" i="1"/>
  <c r="K67" i="1"/>
  <c r="AQ68" i="1"/>
  <c r="AM68" i="1"/>
  <c r="AI68" i="1"/>
  <c r="AE68" i="1"/>
  <c r="AU66" i="1"/>
  <c r="O66" i="1"/>
  <c r="W66" i="1"/>
  <c r="AY66" i="1"/>
  <c r="AQ65" i="1"/>
  <c r="AM65" i="1"/>
  <c r="AU65" i="1"/>
  <c r="AE65" i="1"/>
  <c r="S64" i="1"/>
  <c r="AI64" i="1"/>
  <c r="AM64" i="1"/>
  <c r="AA64" i="1"/>
  <c r="Q46" i="1"/>
  <c r="AK46" i="1"/>
  <c r="AW45" i="1"/>
  <c r="AC45" i="1"/>
  <c r="AO44" i="1"/>
  <c r="M44" i="1"/>
  <c r="AC43" i="1"/>
  <c r="Q43" i="1"/>
  <c r="AS47" i="1"/>
  <c r="AG47" i="1"/>
  <c r="BE42" i="1"/>
  <c r="BA42" i="1"/>
  <c r="AS41" i="1"/>
  <c r="U40" i="1"/>
  <c r="AV31" i="1"/>
  <c r="AN31" i="1"/>
  <c r="AV30" i="1"/>
  <c r="T30" i="1"/>
  <c r="T38" i="1" s="1"/>
  <c r="X29" i="1"/>
  <c r="AF29" i="1"/>
  <c r="AR28" i="1"/>
  <c r="AJ28" i="1"/>
  <c r="AN27" i="1"/>
  <c r="T27" i="1"/>
  <c r="AN26" i="1"/>
  <c r="P26" i="1"/>
  <c r="BD25" i="1"/>
  <c r="AJ25" i="1"/>
  <c r="AB24" i="1"/>
  <c r="L24" i="1"/>
  <c r="AY23" i="1"/>
  <c r="S23" i="1"/>
  <c r="AI23" i="1"/>
  <c r="K22" i="1"/>
  <c r="AE22" i="1"/>
  <c r="AQ22" i="1"/>
  <c r="AY22" i="1"/>
  <c r="BC21" i="1"/>
  <c r="AQ21" i="1"/>
  <c r="K21" i="1"/>
  <c r="O20" i="1"/>
  <c r="O21" i="1"/>
  <c r="AA20" i="1"/>
  <c r="AY20" i="1"/>
  <c r="BC20" i="1"/>
  <c r="BC19" i="1"/>
  <c r="AE19" i="1"/>
  <c r="AU19" i="1"/>
  <c r="AI19" i="1"/>
  <c r="AA18" i="1"/>
  <c r="AQ18" i="1"/>
  <c r="S18" i="1"/>
  <c r="AU17" i="1"/>
  <c r="AM17" i="1"/>
  <c r="K17" i="1"/>
  <c r="AY16" i="1"/>
  <c r="AM16" i="1"/>
  <c r="BC16" i="1"/>
  <c r="BH146" i="1"/>
  <c r="BH138" i="1"/>
  <c r="BH115" i="1"/>
  <c r="BH116" i="1" s="1"/>
  <c r="BH114" i="1"/>
  <c r="BH98" i="1"/>
  <c r="BH90" i="1"/>
  <c r="AR78" i="1"/>
  <c r="AZ72" i="1"/>
  <c r="BH67" i="1"/>
  <c r="BH68" i="1" s="1"/>
  <c r="BH66" i="1"/>
  <c r="N59" i="1" l="1"/>
  <c r="AH58" i="1"/>
  <c r="N108" i="1"/>
  <c r="AR86" i="1"/>
  <c r="R56" i="1"/>
  <c r="AZ80" i="1"/>
  <c r="L81" i="1"/>
  <c r="AT107" i="1"/>
  <c r="N154" i="1"/>
  <c r="V57" i="1"/>
  <c r="Z60" i="1"/>
  <c r="AP62" i="1"/>
  <c r="V156" i="1"/>
  <c r="AL152" i="1"/>
  <c r="AL61" i="1"/>
  <c r="X84" i="1"/>
  <c r="Z62" i="1"/>
  <c r="AD57" i="1"/>
  <c r="AP158" i="1"/>
  <c r="AT59" i="1"/>
  <c r="AX58" i="1"/>
  <c r="AX60" i="1"/>
  <c r="BB61" i="1"/>
  <c r="AH56" i="1"/>
  <c r="BF63" i="1"/>
  <c r="BF159" i="1"/>
  <c r="Z157" i="1"/>
  <c r="AD153" i="1"/>
  <c r="AL158" i="1"/>
  <c r="BB105" i="1"/>
  <c r="Z152" i="1"/>
  <c r="AT153" i="1"/>
  <c r="AT155" i="1"/>
  <c r="AX156" i="1"/>
  <c r="AH154" i="1"/>
  <c r="BB157" i="1"/>
  <c r="AD105" i="1"/>
  <c r="BB108" i="1"/>
  <c r="V110" i="1"/>
  <c r="AD111" i="1"/>
  <c r="BF106" i="1"/>
  <c r="AL107" i="1"/>
  <c r="BF104" i="1"/>
  <c r="R109" i="1"/>
  <c r="T87" i="1"/>
  <c r="BA160" i="1"/>
  <c r="AG160" i="1"/>
  <c r="BE160" i="1"/>
  <c r="AZ134" i="1"/>
  <c r="AC160" i="1"/>
  <c r="AZ129" i="1"/>
  <c r="K160" i="1"/>
  <c r="K162" i="1" s="1"/>
  <c r="W160" i="1"/>
  <c r="AJ85" i="1"/>
  <c r="AB128" i="1"/>
  <c r="AU160" i="1"/>
  <c r="AO160" i="1"/>
  <c r="AR82" i="1"/>
  <c r="AB135" i="1"/>
  <c r="M160" i="1"/>
  <c r="AS160" i="1"/>
  <c r="X87" i="1"/>
  <c r="AF133" i="1"/>
  <c r="BD131" i="1"/>
  <c r="AW160" i="1"/>
  <c r="P83" i="1"/>
  <c r="BD129" i="1"/>
  <c r="AJ36" i="1"/>
  <c r="U160" i="1"/>
  <c r="AB82" i="1"/>
  <c r="S160" i="1"/>
  <c r="AJ132" i="1"/>
  <c r="AA160" i="1"/>
  <c r="AN130" i="1"/>
  <c r="AM160" i="1"/>
  <c r="AI160" i="1"/>
  <c r="O160" i="1"/>
  <c r="AQ160" i="1"/>
  <c r="BC160" i="1"/>
  <c r="AY160" i="1"/>
  <c r="AN39" i="1"/>
  <c r="Q160" i="1"/>
  <c r="P81" i="1"/>
  <c r="AZ85" i="1"/>
  <c r="L132" i="1"/>
  <c r="AV128" i="1"/>
  <c r="P133" i="1"/>
  <c r="AR135" i="1"/>
  <c r="T131" i="1"/>
  <c r="X130" i="1"/>
  <c r="AV134" i="1"/>
  <c r="BD84" i="1"/>
  <c r="AV39" i="1"/>
  <c r="AN35" i="1"/>
  <c r="AF83" i="1"/>
  <c r="AF80" i="1"/>
  <c r="AV38" i="1"/>
  <c r="X37" i="1"/>
  <c r="AR36" i="1"/>
  <c r="T35" i="1"/>
  <c r="AN34" i="1"/>
  <c r="P34" i="1"/>
  <c r="BD33" i="1"/>
  <c r="L32" i="1"/>
  <c r="L86" i="1"/>
  <c r="AF37" i="1"/>
  <c r="AJ33" i="1"/>
  <c r="AB32" i="1"/>
  <c r="N160" i="1" l="1"/>
  <c r="N162" i="1" s="1"/>
  <c r="N168" i="1" s="1"/>
  <c r="N175" i="1" s="1"/>
  <c r="K165" i="1"/>
  <c r="K172" i="1" s="1"/>
  <c r="AP160" i="1"/>
  <c r="AP162" i="1" s="1"/>
  <c r="AP168" i="1" s="1"/>
  <c r="AP175" i="1" s="1"/>
  <c r="V160" i="1"/>
  <c r="V162" i="1" s="1"/>
  <c r="V168" i="1" s="1"/>
  <c r="V175" i="1" s="1"/>
  <c r="AL160" i="1"/>
  <c r="AL162" i="1" s="1"/>
  <c r="AL168" i="1" s="1"/>
  <c r="AL175" i="1" s="1"/>
  <c r="AY162" i="1"/>
  <c r="O162" i="1"/>
  <c r="AI162" i="1"/>
  <c r="BC162" i="1"/>
  <c r="AQ162" i="1"/>
  <c r="W162" i="1"/>
  <c r="AA162" i="1"/>
  <c r="S162" i="1"/>
  <c r="AM162" i="1"/>
  <c r="AU162" i="1"/>
  <c r="AG162" i="1"/>
  <c r="AG167" i="1" s="1"/>
  <c r="AG174" i="1" s="1"/>
  <c r="BA162" i="1"/>
  <c r="BA167" i="1" s="1"/>
  <c r="BA174" i="1" s="1"/>
  <c r="U162" i="1"/>
  <c r="U167" i="1" s="1"/>
  <c r="U174" i="1" s="1"/>
  <c r="M162" i="1"/>
  <c r="M167" i="1" s="1"/>
  <c r="M174" i="1" s="1"/>
  <c r="BE162" i="1"/>
  <c r="BE167" i="1" s="1"/>
  <c r="BE174" i="1" s="1"/>
  <c r="AS162" i="1"/>
  <c r="AS167" i="1" s="1"/>
  <c r="AS174" i="1" s="1"/>
  <c r="AC162" i="1"/>
  <c r="AC167" i="1" s="1"/>
  <c r="AC174" i="1" s="1"/>
  <c r="Q162" i="1"/>
  <c r="Q167" i="1" s="1"/>
  <c r="Q174" i="1" s="1"/>
  <c r="AW162" i="1"/>
  <c r="AW167" i="1" s="1"/>
  <c r="AW174" i="1" s="1"/>
  <c r="AO162" i="1"/>
  <c r="AO167" i="1" s="1"/>
  <c r="AO174" i="1" s="1"/>
  <c r="BB160" i="1"/>
  <c r="BB162" i="1" s="1"/>
  <c r="AT160" i="1"/>
  <c r="AH160" i="1"/>
  <c r="AH162" i="1" s="1"/>
  <c r="AX160" i="1"/>
  <c r="AX162" i="1" s="1"/>
  <c r="BF160" i="1"/>
  <c r="BF162" i="1" s="1"/>
  <c r="R160" i="1"/>
  <c r="AD160" i="1"/>
  <c r="AD162" i="1" s="1"/>
  <c r="Z160" i="1"/>
  <c r="Z162" i="1" s="1"/>
  <c r="AJ160" i="1"/>
  <c r="AJ162" i="1" s="1"/>
  <c r="X160" i="1"/>
  <c r="X162" i="1" s="1"/>
  <c r="AZ160" i="1"/>
  <c r="AZ162" i="1" s="1"/>
  <c r="BD160" i="1"/>
  <c r="BD162" i="1" s="1"/>
  <c r="AB160" i="1"/>
  <c r="AB162" i="1" s="1"/>
  <c r="AV160" i="1"/>
  <c r="AV162" i="1" s="1"/>
  <c r="L160" i="1"/>
  <c r="L162" i="1" s="1"/>
  <c r="P160" i="1"/>
  <c r="P162" i="1" s="1"/>
  <c r="AN160" i="1"/>
  <c r="AN162" i="1" s="1"/>
  <c r="T160" i="1"/>
  <c r="T162" i="1" s="1"/>
  <c r="AR160" i="1"/>
  <c r="AR162" i="1" s="1"/>
  <c r="AF160" i="1"/>
  <c r="AF162" i="1" s="1"/>
  <c r="BH50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K31" i="3"/>
  <c r="K30" i="3"/>
  <c r="K28" i="3"/>
  <c r="K27" i="3"/>
  <c r="K26" i="3"/>
  <c r="N16" i="3"/>
  <c r="N12" i="3"/>
  <c r="K21" i="3"/>
  <c r="K20" i="3"/>
  <c r="K19" i="3"/>
  <c r="K17" i="3"/>
  <c r="K16" i="3"/>
  <c r="K18" i="3"/>
  <c r="M12" i="3"/>
  <c r="K12" i="3"/>
  <c r="L12" i="3" s="1"/>
  <c r="K33" i="3"/>
  <c r="D33" i="3"/>
  <c r="J31" i="3"/>
  <c r="J30" i="3"/>
  <c r="J29" i="3"/>
  <c r="K29" i="3" s="1"/>
  <c r="M26" i="3" s="1"/>
  <c r="N26" i="3" s="1"/>
  <c r="J28" i="3"/>
  <c r="J27" i="3"/>
  <c r="J26" i="3"/>
  <c r="K23" i="3"/>
  <c r="J23" i="3"/>
  <c r="D23" i="3"/>
  <c r="J21" i="3"/>
  <c r="J20" i="3"/>
  <c r="J19" i="3"/>
  <c r="J18" i="3"/>
  <c r="J17" i="3"/>
  <c r="J16" i="3"/>
  <c r="J12" i="3"/>
  <c r="H12" i="3"/>
  <c r="G12" i="3"/>
  <c r="F12" i="3"/>
  <c r="E12" i="3"/>
  <c r="D12" i="3"/>
  <c r="AK40" i="1"/>
  <c r="AK160" i="1" s="1"/>
  <c r="Y41" i="1"/>
  <c r="Y160" i="1" s="1"/>
  <c r="AE17" i="1"/>
  <c r="AE160" i="1" s="1"/>
  <c r="AU165" i="1" l="1"/>
  <c r="AU172" i="1" s="1"/>
  <c r="O165" i="1"/>
  <c r="O172" i="1" s="1"/>
  <c r="BC165" i="1"/>
  <c r="BC172" i="1" s="1"/>
  <c r="AI165" i="1"/>
  <c r="AI172" i="1" s="1"/>
  <c r="W165" i="1"/>
  <c r="W172" i="1" s="1"/>
  <c r="AM165" i="1"/>
  <c r="AM172" i="1" s="1"/>
  <c r="AY165" i="1"/>
  <c r="AY172" i="1" s="1"/>
  <c r="S165" i="1"/>
  <c r="S172" i="1" s="1"/>
  <c r="AQ165" i="1"/>
  <c r="AQ172" i="1" s="1"/>
  <c r="AA165" i="1"/>
  <c r="AA172" i="1" s="1"/>
  <c r="AE162" i="1"/>
  <c r="Y162" i="1"/>
  <c r="Y167" i="1" s="1"/>
  <c r="Y174" i="1" s="1"/>
  <c r="AK162" i="1"/>
  <c r="AK167" i="1" s="1"/>
  <c r="AK174" i="1" s="1"/>
  <c r="AT162" i="1"/>
  <c r="AT168" i="1" s="1"/>
  <c r="AT175" i="1" s="1"/>
  <c r="R162" i="1"/>
  <c r="R168" i="1" s="1"/>
  <c r="R175" i="1" s="1"/>
  <c r="BF168" i="1"/>
  <c r="BF175" i="1" s="1"/>
  <c r="BB168" i="1"/>
  <c r="BB175" i="1" s="1"/>
  <c r="AX168" i="1"/>
  <c r="AX175" i="1" s="1"/>
  <c r="AH168" i="1"/>
  <c r="AH175" i="1" s="1"/>
  <c r="AD168" i="1"/>
  <c r="AD175" i="1" s="1"/>
  <c r="Z168" i="1"/>
  <c r="Z175" i="1" s="1"/>
  <c r="J33" i="3"/>
  <c r="N14" i="2"/>
  <c r="AE165" i="1" l="1"/>
  <c r="AE172" i="1" s="1"/>
  <c r="AI181" i="1"/>
  <c r="AE181" i="1"/>
  <c r="W181" i="1"/>
  <c r="BC181" i="1"/>
  <c r="AU181" i="1"/>
  <c r="O181" i="1"/>
  <c r="AM181" i="1"/>
  <c r="AY181" i="1"/>
  <c r="AQ181" i="1"/>
  <c r="S181" i="1"/>
  <c r="AA181" i="1"/>
  <c r="AI182" i="1"/>
  <c r="AQ182" i="1"/>
  <c r="AY182" i="1"/>
  <c r="AU182" i="1"/>
  <c r="AE182" i="1"/>
  <c r="AH298" i="1" s="1"/>
  <c r="AA182" i="1"/>
  <c r="O182" i="1"/>
  <c r="S182" i="1"/>
  <c r="K182" i="1"/>
  <c r="W182" i="1"/>
  <c r="BC182" i="1"/>
  <c r="BF298" i="1" s="1"/>
  <c r="AM182" i="1"/>
  <c r="BD166" i="1"/>
  <c r="BD173" i="1" s="1"/>
  <c r="AZ166" i="1"/>
  <c r="AZ173" i="1" s="1"/>
  <c r="AV166" i="1"/>
  <c r="AV173" i="1" s="1"/>
  <c r="AR166" i="1"/>
  <c r="AR173" i="1" s="1"/>
  <c r="AN166" i="1"/>
  <c r="AN173" i="1" s="1"/>
  <c r="AJ166" i="1"/>
  <c r="AJ173" i="1" s="1"/>
  <c r="AF166" i="1"/>
  <c r="AF173" i="1" s="1"/>
  <c r="AB166" i="1"/>
  <c r="AB173" i="1" s="1"/>
  <c r="X166" i="1"/>
  <c r="X173" i="1" s="1"/>
  <c r="T166" i="1"/>
  <c r="T173" i="1" s="1"/>
  <c r="P166" i="1"/>
  <c r="P173" i="1" s="1"/>
  <c r="L14" i="2"/>
  <c r="J14" i="2"/>
  <c r="H14" i="2"/>
  <c r="F14" i="2"/>
  <c r="X13" i="2"/>
  <c r="AA9" i="2"/>
  <c r="AA13" i="2" s="1"/>
  <c r="U9" i="2"/>
  <c r="U13" i="2" s="1"/>
  <c r="R13" i="2"/>
  <c r="BH19" i="1"/>
  <c r="BH20" i="1" s="1"/>
  <c r="BH42" i="1"/>
  <c r="BH18" i="1"/>
  <c r="AM179" i="1" l="1"/>
  <c r="AA179" i="1"/>
  <c r="AU179" i="1"/>
  <c r="O179" i="1"/>
  <c r="S179" i="1"/>
  <c r="AE179" i="1"/>
  <c r="AY179" i="1"/>
  <c r="AI179" i="1"/>
  <c r="AQ179" i="1"/>
  <c r="W179" i="1"/>
  <c r="BC179" i="1"/>
  <c r="AQ188" i="1"/>
  <c r="AR188" i="1" s="1"/>
  <c r="AO188" i="1"/>
  <c r="AN188" i="1"/>
  <c r="G241" i="1" s="1"/>
  <c r="AQ193" i="1"/>
  <c r="AR193" i="1" s="1"/>
  <c r="AN193" i="1"/>
  <c r="H239" i="1" s="1"/>
  <c r="H240" i="1" s="1"/>
  <c r="H247" i="1" s="1"/>
  <c r="AO192" i="1"/>
  <c r="AQ190" i="1"/>
  <c r="AR190" i="1" s="1"/>
  <c r="AO193" i="1"/>
  <c r="AN192" i="1"/>
  <c r="H238" i="1" s="1"/>
  <c r="AQ192" i="1"/>
  <c r="AR192" i="1" s="1"/>
  <c r="AN190" i="1"/>
  <c r="G239" i="1" s="1"/>
  <c r="AO191" i="1"/>
  <c r="AQ191" i="1"/>
  <c r="AR191" i="1" s="1"/>
  <c r="AN191" i="1"/>
  <c r="G238" i="1" s="1"/>
  <c r="AQ189" i="1"/>
  <c r="AR189" i="1" s="1"/>
  <c r="AN189" i="1"/>
  <c r="G242" i="1" s="1"/>
  <c r="AO189" i="1"/>
  <c r="AO190" i="1"/>
  <c r="W169" i="1"/>
  <c r="W176" i="1" s="1"/>
  <c r="AE169" i="1"/>
  <c r="AE176" i="1" s="1"/>
  <c r="BC169" i="1"/>
  <c r="BC176" i="1" s="1"/>
  <c r="AA169" i="1"/>
  <c r="AA176" i="1" s="1"/>
  <c r="AI169" i="1"/>
  <c r="AI176" i="1" s="1"/>
  <c r="AM169" i="1"/>
  <c r="AM176" i="1" s="1"/>
  <c r="AQ169" i="1"/>
  <c r="AQ176" i="1" s="1"/>
  <c r="O169" i="1"/>
  <c r="O176" i="1" s="1"/>
  <c r="AU169" i="1"/>
  <c r="AU176" i="1" s="1"/>
  <c r="S169" i="1"/>
  <c r="S176" i="1" s="1"/>
  <c r="AY169" i="1"/>
  <c r="AY176" i="1" s="1"/>
  <c r="L166" i="1"/>
  <c r="G240" i="1" l="1"/>
  <c r="AH240" i="1" s="1"/>
  <c r="AH247" i="1" s="1"/>
  <c r="W180" i="1"/>
  <c r="L173" i="1"/>
  <c r="AT238" i="1"/>
  <c r="Z238" i="1"/>
  <c r="BB238" i="1"/>
  <c r="AL238" i="1"/>
  <c r="AX238" i="1"/>
  <c r="R238" i="1"/>
  <c r="AH238" i="1"/>
  <c r="H241" i="1"/>
  <c r="Z241" i="1" s="1"/>
  <c r="N238" i="1"/>
  <c r="AD238" i="1"/>
  <c r="V238" i="1"/>
  <c r="BF238" i="1"/>
  <c r="AP238" i="1"/>
  <c r="Z239" i="1"/>
  <c r="BB239" i="1"/>
  <c r="AL239" i="1"/>
  <c r="R239" i="1"/>
  <c r="AT239" i="1"/>
  <c r="AP239" i="1"/>
  <c r="N239" i="1"/>
  <c r="H242" i="1"/>
  <c r="AX242" i="1" s="1"/>
  <c r="BF239" i="1"/>
  <c r="AD239" i="1"/>
  <c r="AX239" i="1"/>
  <c r="AH239" i="1"/>
  <c r="V239" i="1"/>
  <c r="BC180" i="1"/>
  <c r="AY180" i="1"/>
  <c r="AQ180" i="1"/>
  <c r="AI180" i="1"/>
  <c r="O180" i="1"/>
  <c r="S180" i="1"/>
  <c r="AA180" i="1"/>
  <c r="AE180" i="1"/>
  <c r="AU180" i="1"/>
  <c r="AM180" i="1"/>
  <c r="K169" i="1"/>
  <c r="K176" i="1" s="1"/>
  <c r="K179" i="1"/>
  <c r="K181" i="1"/>
  <c r="K180" i="1"/>
  <c r="H244" i="1" l="1"/>
  <c r="H251" i="1" s="1"/>
  <c r="BB240" i="1"/>
  <c r="BB247" i="1" s="1"/>
  <c r="AP240" i="1"/>
  <c r="AP247" i="1" s="1"/>
  <c r="AD240" i="1"/>
  <c r="AD247" i="1" s="1"/>
  <c r="Z240" i="1"/>
  <c r="Z247" i="1" s="1"/>
  <c r="N240" i="1"/>
  <c r="N247" i="1" s="1"/>
  <c r="R240" i="1"/>
  <c r="R247" i="1" s="1"/>
  <c r="G247" i="1"/>
  <c r="BF240" i="1"/>
  <c r="BF247" i="1" s="1"/>
  <c r="AL240" i="1"/>
  <c r="AL247" i="1" s="1"/>
  <c r="V240" i="1"/>
  <c r="V247" i="1" s="1"/>
  <c r="AX240" i="1"/>
  <c r="AX247" i="1" s="1"/>
  <c r="AT240" i="1"/>
  <c r="AT247" i="1" s="1"/>
  <c r="G244" i="1"/>
  <c r="G251" i="1" s="1"/>
  <c r="N242" i="1"/>
  <c r="AD241" i="1"/>
  <c r="AF188" i="1"/>
  <c r="AE188" i="1"/>
  <c r="AH188" i="1"/>
  <c r="AI188" i="1" s="1"/>
  <c r="AH242" i="1"/>
  <c r="Y188" i="1"/>
  <c r="Z188" i="1" s="1"/>
  <c r="W188" i="1"/>
  <c r="V188" i="1"/>
  <c r="G213" i="1" s="1"/>
  <c r="V242" i="1"/>
  <c r="P188" i="1"/>
  <c r="Q188" i="1" s="1"/>
  <c r="N188" i="1"/>
  <c r="M188" i="1"/>
  <c r="N241" i="1"/>
  <c r="Z242" i="1"/>
  <c r="R241" i="1"/>
  <c r="AL242" i="1"/>
  <c r="G243" i="1"/>
  <c r="H248" i="1"/>
  <c r="BB241" i="1"/>
  <c r="AT242" i="1"/>
  <c r="AX241" i="1"/>
  <c r="R242" i="1"/>
  <c r="AT241" i="1"/>
  <c r="V241" i="1"/>
  <c r="BF242" i="1"/>
  <c r="AH241" i="1"/>
  <c r="H249" i="1"/>
  <c r="H243" i="1"/>
  <c r="H250" i="1" s="1"/>
  <c r="AL241" i="1"/>
  <c r="BB242" i="1"/>
  <c r="AD242" i="1"/>
  <c r="BF241" i="1"/>
  <c r="AP241" i="1"/>
  <c r="AP242" i="1"/>
  <c r="P191" i="1"/>
  <c r="Q191" i="1" s="1"/>
  <c r="P190" i="1"/>
  <c r="Q190" i="1" s="1"/>
  <c r="P192" i="1"/>
  <c r="Y191" i="1"/>
  <c r="Z191" i="1" s="1"/>
  <c r="W190" i="1"/>
  <c r="Y190" i="1"/>
  <c r="Z190" i="1" s="1"/>
  <c r="W189" i="1"/>
  <c r="V191" i="1"/>
  <c r="G210" i="1" s="1"/>
  <c r="Y189" i="1"/>
  <c r="Z189" i="1" s="1"/>
  <c r="V193" i="1"/>
  <c r="H211" i="1" s="1"/>
  <c r="W192" i="1"/>
  <c r="V192" i="1"/>
  <c r="H210" i="1" s="1"/>
  <c r="W193" i="1"/>
  <c r="V190" i="1"/>
  <c r="G211" i="1" s="1"/>
  <c r="Y193" i="1"/>
  <c r="Z193" i="1" s="1"/>
  <c r="Y192" i="1"/>
  <c r="Z192" i="1" s="1"/>
  <c r="W191" i="1"/>
  <c r="AF192" i="1"/>
  <c r="AE192" i="1"/>
  <c r="AF191" i="1"/>
  <c r="AH193" i="1"/>
  <c r="AI193" i="1" s="1"/>
  <c r="AH192" i="1"/>
  <c r="AI192" i="1" s="1"/>
  <c r="AH191" i="1"/>
  <c r="AI191" i="1" s="1"/>
  <c r="AH190" i="1"/>
  <c r="AI190" i="1" s="1"/>
  <c r="AH189" i="1"/>
  <c r="AI189" i="1" s="1"/>
  <c r="AE193" i="1"/>
  <c r="AE191" i="1"/>
  <c r="AF190" i="1"/>
  <c r="AF189" i="1"/>
  <c r="AE189" i="1"/>
  <c r="AE190" i="1"/>
  <c r="G225" i="1" s="1"/>
  <c r="AF193" i="1"/>
  <c r="V189" i="1"/>
  <c r="G214" i="1" s="1"/>
  <c r="N192" i="1"/>
  <c r="N191" i="1"/>
  <c r="N189" i="1"/>
  <c r="N190" i="1"/>
  <c r="M192" i="1"/>
  <c r="M191" i="1"/>
  <c r="M190" i="1"/>
  <c r="M189" i="1"/>
  <c r="P189" i="1"/>
  <c r="Q189" i="1" s="1"/>
  <c r="AU183" i="1"/>
  <c r="AQ183" i="1"/>
  <c r="AA183" i="1"/>
  <c r="O183" i="1"/>
  <c r="W183" i="1"/>
  <c r="BC183" i="1"/>
  <c r="AM183" i="1"/>
  <c r="AY183" i="1"/>
  <c r="AI183" i="1"/>
  <c r="AE183" i="1"/>
  <c r="S183" i="1"/>
  <c r="K183" i="1"/>
  <c r="R244" i="1" l="1"/>
  <c r="R251" i="1" s="1"/>
  <c r="V244" i="1"/>
  <c r="V251" i="1" s="1"/>
  <c r="AH244" i="1"/>
  <c r="AH251" i="1" s="1"/>
  <c r="AD244" i="1"/>
  <c r="AD251" i="1" s="1"/>
  <c r="AT244" i="1"/>
  <c r="AT251" i="1" s="1"/>
  <c r="AL244" i="1"/>
  <c r="AL251" i="1" s="1"/>
  <c r="AX244" i="1"/>
  <c r="AX251" i="1" s="1"/>
  <c r="AP244" i="1"/>
  <c r="AP251" i="1" s="1"/>
  <c r="BB244" i="1"/>
  <c r="BB251" i="1" s="1"/>
  <c r="N244" i="1"/>
  <c r="N251" i="1" s="1"/>
  <c r="BF244" i="1"/>
  <c r="BF251" i="1" s="1"/>
  <c r="Z244" i="1"/>
  <c r="Z251" i="1" s="1"/>
  <c r="G250" i="1"/>
  <c r="R243" i="1"/>
  <c r="AH243" i="1"/>
  <c r="Z243" i="1"/>
  <c r="AP243" i="1"/>
  <c r="N243" i="1"/>
  <c r="BF243" i="1"/>
  <c r="AD243" i="1"/>
  <c r="V243" i="1"/>
  <c r="AT243" i="1"/>
  <c r="BB243" i="1"/>
  <c r="AL243" i="1"/>
  <c r="AX243" i="1"/>
  <c r="G227" i="1"/>
  <c r="G234" i="1" s="1"/>
  <c r="H225" i="1"/>
  <c r="BE225" i="1" s="1"/>
  <c r="H246" i="1"/>
  <c r="G246" i="1"/>
  <c r="G224" i="1"/>
  <c r="G231" i="1" s="1"/>
  <c r="H224" i="1"/>
  <c r="H231" i="1" s="1"/>
  <c r="H245" i="1"/>
  <c r="G228" i="1"/>
  <c r="G235" i="1" s="1"/>
  <c r="Q192" i="1"/>
  <c r="G232" i="1"/>
  <c r="H228" i="1"/>
  <c r="H205" i="1"/>
  <c r="H208" i="1"/>
  <c r="H203" i="1"/>
  <c r="H200" i="1"/>
  <c r="G205" i="1"/>
  <c r="G208" i="1"/>
  <c r="G207" i="1"/>
  <c r="G206" i="1"/>
  <c r="G209" i="1"/>
  <c r="H202" i="1"/>
  <c r="H201" i="1"/>
  <c r="H207" i="1"/>
  <c r="H206" i="1"/>
  <c r="H204" i="1"/>
  <c r="H209" i="1"/>
  <c r="G202" i="1"/>
  <c r="G200" i="1"/>
  <c r="G201" i="1"/>
  <c r="G203" i="1"/>
  <c r="G204" i="1"/>
  <c r="H227" i="1" l="1"/>
  <c r="AW227" i="1" s="1"/>
  <c r="AW225" i="1"/>
  <c r="G226" i="1"/>
  <c r="G233" i="1" s="1"/>
  <c r="N250" i="1"/>
  <c r="N257" i="1" s="1"/>
  <c r="N298" i="1" s="1"/>
  <c r="Y225" i="1"/>
  <c r="AG224" i="1"/>
  <c r="AX250" i="1"/>
  <c r="AX257" i="1" s="1"/>
  <c r="AX298" i="1" s="1"/>
  <c r="AP250" i="1"/>
  <c r="AP257" i="1" s="1"/>
  <c r="AP298" i="1" s="1"/>
  <c r="BF250" i="1"/>
  <c r="BF257" i="1" s="1"/>
  <c r="AL250" i="1"/>
  <c r="AL257" i="1" s="1"/>
  <c r="AL298" i="1" s="1"/>
  <c r="Z250" i="1"/>
  <c r="Z257" i="1" s="1"/>
  <c r="Z298" i="1" s="1"/>
  <c r="BB250" i="1"/>
  <c r="BB257" i="1" s="1"/>
  <c r="BB298" i="1" s="1"/>
  <c r="AH250" i="1"/>
  <c r="AH257" i="1" s="1"/>
  <c r="AD250" i="1"/>
  <c r="AD257" i="1" s="1"/>
  <c r="AD298" i="1" s="1"/>
  <c r="AT250" i="1"/>
  <c r="AT257" i="1" s="1"/>
  <c r="AT298" i="1" s="1"/>
  <c r="R250" i="1"/>
  <c r="R257" i="1" s="1"/>
  <c r="R298" i="1" s="1"/>
  <c r="V250" i="1"/>
  <c r="V257" i="1" s="1"/>
  <c r="V298" i="1" s="1"/>
  <c r="U225" i="1"/>
  <c r="M225" i="1"/>
  <c r="AC225" i="1"/>
  <c r="H226" i="1"/>
  <c r="H233" i="1" s="1"/>
  <c r="BA225" i="1"/>
  <c r="AK225" i="1"/>
  <c r="Q225" i="1"/>
  <c r="AG225" i="1"/>
  <c r="H232" i="1"/>
  <c r="AS225" i="1"/>
  <c r="AO225" i="1"/>
  <c r="AW224" i="1"/>
  <c r="Y224" i="1"/>
  <c r="AC224" i="1"/>
  <c r="BA224" i="1"/>
  <c r="AO224" i="1"/>
  <c r="AK224" i="1"/>
  <c r="U224" i="1"/>
  <c r="BE224" i="1"/>
  <c r="G249" i="1"/>
  <c r="M224" i="1"/>
  <c r="AS224" i="1"/>
  <c r="G245" i="1"/>
  <c r="G248" i="1"/>
  <c r="Q224" i="1"/>
  <c r="AC228" i="1"/>
  <c r="H230" i="1"/>
  <c r="H237" i="1" s="1"/>
  <c r="AW228" i="1"/>
  <c r="AO228" i="1"/>
  <c r="AK228" i="1"/>
  <c r="AG228" i="1"/>
  <c r="Y228" i="1"/>
  <c r="BE228" i="1"/>
  <c r="AS228" i="1"/>
  <c r="H217" i="1"/>
  <c r="G212" i="1"/>
  <c r="G219" i="1" s="1"/>
  <c r="H212" i="1"/>
  <c r="G218" i="1"/>
  <c r="G221" i="1"/>
  <c r="G230" i="1"/>
  <c r="G220" i="1"/>
  <c r="H214" i="1"/>
  <c r="AV214" i="1" s="1"/>
  <c r="H218" i="1"/>
  <c r="AF210" i="1"/>
  <c r="X210" i="1"/>
  <c r="AJ210" i="1"/>
  <c r="BD210" i="1"/>
  <c r="AV210" i="1"/>
  <c r="L210" i="1"/>
  <c r="H213" i="1"/>
  <c r="AN213" i="1" s="1"/>
  <c r="G217" i="1"/>
  <c r="AZ210" i="1"/>
  <c r="AB210" i="1"/>
  <c r="AR210" i="1"/>
  <c r="T210" i="1"/>
  <c r="AN210" i="1"/>
  <c r="P210" i="1"/>
  <c r="H235" i="1"/>
  <c r="H229" i="1"/>
  <c r="H236" i="1" s="1"/>
  <c r="BA228" i="1"/>
  <c r="M228" i="1"/>
  <c r="Q228" i="1"/>
  <c r="U228" i="1"/>
  <c r="AV211" i="1"/>
  <c r="AF211" i="1"/>
  <c r="P211" i="1"/>
  <c r="AB211" i="1"/>
  <c r="L211" i="1"/>
  <c r="AZ211" i="1"/>
  <c r="AJ211" i="1"/>
  <c r="T211" i="1"/>
  <c r="BD211" i="1"/>
  <c r="AN211" i="1"/>
  <c r="X211" i="1"/>
  <c r="AR211" i="1"/>
  <c r="AM203" i="1"/>
  <c r="AM208" i="1" s="1"/>
  <c r="AE203" i="1"/>
  <c r="AE208" i="1" s="1"/>
  <c r="AY203" i="1"/>
  <c r="AY208" i="1" s="1"/>
  <c r="S203" i="1"/>
  <c r="S208" i="1" s="1"/>
  <c r="AA203" i="1"/>
  <c r="AA208" i="1" s="1"/>
  <c r="AQ203" i="1"/>
  <c r="AQ208" i="1" s="1"/>
  <c r="K203" i="1"/>
  <c r="K208" i="1" s="1"/>
  <c r="BC203" i="1"/>
  <c r="BC208" i="1" s="1"/>
  <c r="W203" i="1"/>
  <c r="W208" i="1" s="1"/>
  <c r="AI203" i="1"/>
  <c r="AI208" i="1" s="1"/>
  <c r="AU203" i="1"/>
  <c r="AU208" i="1" s="1"/>
  <c r="O203" i="1"/>
  <c r="O208" i="1" s="1"/>
  <c r="AU202" i="1"/>
  <c r="AU207" i="1" s="1"/>
  <c r="O202" i="1"/>
  <c r="O207" i="1" s="1"/>
  <c r="AA202" i="1"/>
  <c r="AA207" i="1" s="1"/>
  <c r="AM202" i="1"/>
  <c r="AM207" i="1" s="1"/>
  <c r="AY202" i="1"/>
  <c r="AY207" i="1" s="1"/>
  <c r="S202" i="1"/>
  <c r="S207" i="1" s="1"/>
  <c r="AE202" i="1"/>
  <c r="AE207" i="1" s="1"/>
  <c r="AQ202" i="1"/>
  <c r="AQ207" i="1" s="1"/>
  <c r="K202" i="1"/>
  <c r="K207" i="1" s="1"/>
  <c r="BC202" i="1"/>
  <c r="BC207" i="1" s="1"/>
  <c r="W202" i="1"/>
  <c r="W207" i="1" s="1"/>
  <c r="AI202" i="1"/>
  <c r="AI207" i="1" s="1"/>
  <c r="AY204" i="1"/>
  <c r="AY209" i="1" s="1"/>
  <c r="S204" i="1"/>
  <c r="S209" i="1" s="1"/>
  <c r="K204" i="1"/>
  <c r="K209" i="1" s="1"/>
  <c r="AE204" i="1"/>
  <c r="AE209" i="1" s="1"/>
  <c r="AQ204" i="1"/>
  <c r="AQ209" i="1" s="1"/>
  <c r="BC204" i="1"/>
  <c r="BC209" i="1" s="1"/>
  <c r="W204" i="1"/>
  <c r="W209" i="1" s="1"/>
  <c r="AI204" i="1"/>
  <c r="AI209" i="1" s="1"/>
  <c r="AM204" i="1"/>
  <c r="AM209" i="1" s="1"/>
  <c r="AU204" i="1"/>
  <c r="AU209" i="1" s="1"/>
  <c r="O204" i="1"/>
  <c r="O209" i="1" s="1"/>
  <c r="AA204" i="1"/>
  <c r="AA209" i="1" s="1"/>
  <c r="AI201" i="1"/>
  <c r="AI206" i="1" s="1"/>
  <c r="AU201" i="1"/>
  <c r="AU206" i="1" s="1"/>
  <c r="O201" i="1"/>
  <c r="O206" i="1" s="1"/>
  <c r="AA201" i="1"/>
  <c r="AA206" i="1" s="1"/>
  <c r="AM201" i="1"/>
  <c r="AM206" i="1" s="1"/>
  <c r="AY201" i="1"/>
  <c r="AY206" i="1" s="1"/>
  <c r="S201" i="1"/>
  <c r="S206" i="1" s="1"/>
  <c r="AE201" i="1"/>
  <c r="AE206" i="1" s="1"/>
  <c r="AQ201" i="1"/>
  <c r="AQ206" i="1" s="1"/>
  <c r="K201" i="1"/>
  <c r="K206" i="1" s="1"/>
  <c r="BC201" i="1"/>
  <c r="BC206" i="1" s="1"/>
  <c r="W201" i="1"/>
  <c r="W206" i="1" s="1"/>
  <c r="AI200" i="1"/>
  <c r="AI205" i="1" s="1"/>
  <c r="BC200" i="1"/>
  <c r="BC205" i="1" s="1"/>
  <c r="AU200" i="1"/>
  <c r="AU205" i="1" s="1"/>
  <c r="O200" i="1"/>
  <c r="O205" i="1" s="1"/>
  <c r="AA200" i="1"/>
  <c r="AA205" i="1" s="1"/>
  <c r="AM200" i="1"/>
  <c r="AM205" i="1" s="1"/>
  <c r="AY200" i="1"/>
  <c r="AY205" i="1" s="1"/>
  <c r="S200" i="1"/>
  <c r="S205" i="1" s="1"/>
  <c r="AE200" i="1"/>
  <c r="AE205" i="1" s="1"/>
  <c r="AQ200" i="1"/>
  <c r="AQ205" i="1" s="1"/>
  <c r="K200" i="1"/>
  <c r="K205" i="1" s="1"/>
  <c r="W200" i="1"/>
  <c r="W205" i="1" s="1"/>
  <c r="M227" i="1" l="1"/>
  <c r="H234" i="1"/>
  <c r="G229" i="1"/>
  <c r="M229" i="1" s="1"/>
  <c r="M236" i="1" s="1"/>
  <c r="AO227" i="1"/>
  <c r="U227" i="1"/>
  <c r="Q227" i="1"/>
  <c r="AS227" i="1"/>
  <c r="AG227" i="1"/>
  <c r="AC227" i="1"/>
  <c r="Y227" i="1"/>
  <c r="AK227" i="1"/>
  <c r="BA227" i="1"/>
  <c r="BE227" i="1"/>
  <c r="BE226" i="1"/>
  <c r="BE233" i="1" s="1"/>
  <c r="AL305" i="1"/>
  <c r="AI312" i="1"/>
  <c r="BF305" i="1"/>
  <c r="BC312" i="1"/>
  <c r="AU312" i="1"/>
  <c r="AX305" i="1"/>
  <c r="AD305" i="1"/>
  <c r="AA312" i="1"/>
  <c r="O312" i="1"/>
  <c r="R305" i="1"/>
  <c r="AH305" i="1"/>
  <c r="AE312" i="1"/>
  <c r="W312" i="1"/>
  <c r="Z305" i="1"/>
  <c r="S312" i="1"/>
  <c r="V305" i="1"/>
  <c r="AP305" i="1"/>
  <c r="AM312" i="1"/>
  <c r="AT305" i="1"/>
  <c r="AQ312" i="1"/>
  <c r="AY312" i="1"/>
  <c r="BB305" i="1"/>
  <c r="N305" i="1"/>
  <c r="K312" i="1"/>
  <c r="AI264" i="1"/>
  <c r="S264" i="1"/>
  <c r="AQ264" i="1"/>
  <c r="BC264" i="1"/>
  <c r="AM264" i="1"/>
  <c r="AE264" i="1"/>
  <c r="AU264" i="1"/>
  <c r="AY264" i="1"/>
  <c r="W264" i="1"/>
  <c r="AA264" i="1"/>
  <c r="O264" i="1"/>
  <c r="K264" i="1"/>
  <c r="AK226" i="1"/>
  <c r="AK233" i="1" s="1"/>
  <c r="BA226" i="1"/>
  <c r="BA233" i="1" s="1"/>
  <c r="AO226" i="1"/>
  <c r="AO233" i="1" s="1"/>
  <c r="AW226" i="1"/>
  <c r="AW233" i="1" s="1"/>
  <c r="AC226" i="1"/>
  <c r="AC233" i="1" s="1"/>
  <c r="AG226" i="1"/>
  <c r="AG233" i="1" s="1"/>
  <c r="AS226" i="1"/>
  <c r="AS233" i="1" s="1"/>
  <c r="U226" i="1"/>
  <c r="U233" i="1" s="1"/>
  <c r="Y226" i="1"/>
  <c r="Y233" i="1" s="1"/>
  <c r="M226" i="1"/>
  <c r="M233" i="1" s="1"/>
  <c r="Q226" i="1"/>
  <c r="Q233" i="1" s="1"/>
  <c r="I217" i="1"/>
  <c r="J217" i="1"/>
  <c r="J218" i="1"/>
  <c r="I218" i="1"/>
  <c r="G216" i="1"/>
  <c r="G223" i="1" s="1"/>
  <c r="H215" i="1"/>
  <c r="H222" i="1" s="1"/>
  <c r="AB213" i="1"/>
  <c r="AF214" i="1"/>
  <c r="T213" i="1"/>
  <c r="AB214" i="1"/>
  <c r="AR214" i="1"/>
  <c r="P213" i="1"/>
  <c r="X214" i="1"/>
  <c r="AF213" i="1"/>
  <c r="P214" i="1"/>
  <c r="G215" i="1"/>
  <c r="H220" i="1"/>
  <c r="AR213" i="1"/>
  <c r="T214" i="1"/>
  <c r="BD214" i="1"/>
  <c r="H216" i="1"/>
  <c r="H223" i="1" s="1"/>
  <c r="H221" i="1"/>
  <c r="X213" i="1"/>
  <c r="AN214" i="1"/>
  <c r="AJ213" i="1"/>
  <c r="AZ213" i="1"/>
  <c r="AZ214" i="1"/>
  <c r="BD213" i="1"/>
  <c r="L213" i="1"/>
  <c r="G237" i="1"/>
  <c r="BE230" i="1"/>
  <c r="BE237" i="1" s="1"/>
  <c r="M230" i="1"/>
  <c r="M237" i="1" s="1"/>
  <c r="AG230" i="1"/>
  <c r="AG237" i="1" s="1"/>
  <c r="AW230" i="1"/>
  <c r="AW237" i="1" s="1"/>
  <c r="AK230" i="1"/>
  <c r="Q230" i="1"/>
  <c r="Q237" i="1" s="1"/>
  <c r="BA230" i="1"/>
  <c r="BA237" i="1" s="1"/>
  <c r="U230" i="1"/>
  <c r="AS230" i="1"/>
  <c r="AO230" i="1"/>
  <c r="AC230" i="1"/>
  <c r="Y230" i="1"/>
  <c r="L214" i="1"/>
  <c r="AV213" i="1"/>
  <c r="AJ214" i="1"/>
  <c r="AY254" i="1"/>
  <c r="H219" i="1"/>
  <c r="BD212" i="1"/>
  <c r="AB212" i="1"/>
  <c r="AR212" i="1"/>
  <c r="AV212" i="1"/>
  <c r="T212" i="1"/>
  <c r="AZ212" i="1"/>
  <c r="AJ212" i="1"/>
  <c r="P212" i="1"/>
  <c r="AF212" i="1"/>
  <c r="AN212" i="1"/>
  <c r="X212" i="1"/>
  <c r="L212" i="1"/>
  <c r="S254" i="1"/>
  <c r="AU254" i="1"/>
  <c r="BC254" i="1"/>
  <c r="AA254" i="1"/>
  <c r="W254" i="1"/>
  <c r="K254" i="1"/>
  <c r="AQ254" i="1"/>
  <c r="O254" i="1"/>
  <c r="AE254" i="1"/>
  <c r="AM254" i="1"/>
  <c r="AI254" i="1"/>
  <c r="P219" i="1" l="1"/>
  <c r="AG229" i="1"/>
  <c r="AG236" i="1" s="1"/>
  <c r="AG256" i="1" s="1"/>
  <c r="AG297" i="1" s="1"/>
  <c r="AS229" i="1"/>
  <c r="AS236" i="1" s="1"/>
  <c r="BA229" i="1"/>
  <c r="BA236" i="1" s="1"/>
  <c r="BA256" i="1" s="1"/>
  <c r="BA297" i="1" s="1"/>
  <c r="AO229" i="1"/>
  <c r="AO236" i="1" s="1"/>
  <c r="G236" i="1"/>
  <c r="AC229" i="1"/>
  <c r="AC236" i="1" s="1"/>
  <c r="AK229" i="1"/>
  <c r="AK236" i="1" s="1"/>
  <c r="Y229" i="1"/>
  <c r="Y236" i="1" s="1"/>
  <c r="U229" i="1"/>
  <c r="U236" i="1" s="1"/>
  <c r="AW229" i="1"/>
  <c r="AW236" i="1" s="1"/>
  <c r="AW256" i="1" s="1"/>
  <c r="AW297" i="1" s="1"/>
  <c r="BE229" i="1"/>
  <c r="BE236" i="1" s="1"/>
  <c r="BE256" i="1" s="1"/>
  <c r="Q229" i="1"/>
  <c r="Q236" i="1" s="1"/>
  <c r="Q256" i="1" s="1"/>
  <c r="Q297" i="1" s="1"/>
  <c r="AN272" i="1"/>
  <c r="BC295" i="1"/>
  <c r="AM295" i="1"/>
  <c r="S295" i="1"/>
  <c r="S302" i="1" s="1"/>
  <c r="K295" i="1"/>
  <c r="AI295" i="1"/>
  <c r="AY295" i="1"/>
  <c r="AU295" i="1"/>
  <c r="AE295" i="1"/>
  <c r="O295" i="1"/>
  <c r="O302" i="1" s="1"/>
  <c r="AQ295" i="1"/>
  <c r="AQ302" i="1" s="1"/>
  <c r="W295" i="1"/>
  <c r="W302" i="1" s="1"/>
  <c r="AN271" i="1"/>
  <c r="BC329" i="1"/>
  <c r="BC321" i="1"/>
  <c r="BA325" i="1"/>
  <c r="AW329" i="1"/>
  <c r="AW321" i="1"/>
  <c r="AV326" i="1"/>
  <c r="AV318" i="1"/>
  <c r="BC320" i="1"/>
  <c r="BA324" i="1"/>
  <c r="AW328" i="1"/>
  <c r="AW320" i="1"/>
  <c r="AV325" i="1"/>
  <c r="BA319" i="1"/>
  <c r="AV320" i="1"/>
  <c r="BC322" i="1"/>
  <c r="AW322" i="1"/>
  <c r="AV319" i="1"/>
  <c r="BC328" i="1"/>
  <c r="BC327" i="1"/>
  <c r="BC319" i="1"/>
  <c r="BA323" i="1"/>
  <c r="AW327" i="1"/>
  <c r="AW319" i="1"/>
  <c r="AV324" i="1"/>
  <c r="BC326" i="1"/>
  <c r="BC318" i="1"/>
  <c r="BA322" i="1"/>
  <c r="AW326" i="1"/>
  <c r="AW318" i="1"/>
  <c r="AV323" i="1"/>
  <c r="BC324" i="1"/>
  <c r="BA328" i="1"/>
  <c r="BA320" i="1"/>
  <c r="AV329" i="1"/>
  <c r="AV321" i="1"/>
  <c r="BA327" i="1"/>
  <c r="AV328" i="1"/>
  <c r="BA326" i="1"/>
  <c r="AV327" i="1"/>
  <c r="BC325" i="1"/>
  <c r="BA329" i="1"/>
  <c r="BA321" i="1"/>
  <c r="AW325" i="1"/>
  <c r="AV322" i="1"/>
  <c r="AW324" i="1"/>
  <c r="BC323" i="1"/>
  <c r="AW323" i="1"/>
  <c r="BA318" i="1"/>
  <c r="AJ272" i="1"/>
  <c r="AK271" i="1"/>
  <c r="AK272" i="1"/>
  <c r="AJ273" i="1"/>
  <c r="AK270" i="1"/>
  <c r="AK274" i="1"/>
  <c r="AN274" i="1"/>
  <c r="AJ274" i="1"/>
  <c r="AJ270" i="1"/>
  <c r="AK275" i="1"/>
  <c r="AK273" i="1"/>
  <c r="AN273" i="1"/>
  <c r="AJ275" i="1"/>
  <c r="AN270" i="1"/>
  <c r="AN275" i="1"/>
  <c r="AJ271" i="1"/>
  <c r="I221" i="1"/>
  <c r="J221" i="1"/>
  <c r="I220" i="1"/>
  <c r="J220" i="1"/>
  <c r="J219" i="1"/>
  <c r="I219" i="1"/>
  <c r="L219" i="1"/>
  <c r="X219" i="1"/>
  <c r="AJ219" i="1"/>
  <c r="AB216" i="1"/>
  <c r="AR219" i="1"/>
  <c r="AB219" i="1"/>
  <c r="AF216" i="1"/>
  <c r="T219" i="1"/>
  <c r="AF219" i="1"/>
  <c r="AN219" i="1"/>
  <c r="AA295" i="1"/>
  <c r="BD216" i="1"/>
  <c r="O261" i="1"/>
  <c r="K261" i="1"/>
  <c r="W261" i="1"/>
  <c r="BD219" i="1"/>
  <c r="AA261" i="1"/>
  <c r="AM261" i="1"/>
  <c r="AU261" i="1"/>
  <c r="AQ261" i="1"/>
  <c r="AI261" i="1"/>
  <c r="BC261" i="1"/>
  <c r="AY261" i="1"/>
  <c r="AE261" i="1"/>
  <c r="S261" i="1"/>
  <c r="AZ219" i="1"/>
  <c r="AV219" i="1"/>
  <c r="L216" i="1"/>
  <c r="AZ216" i="1"/>
  <c r="AV216" i="1"/>
  <c r="T216" i="1"/>
  <c r="AR216" i="1"/>
  <c r="X216" i="1"/>
  <c r="AN216" i="1"/>
  <c r="M256" i="1"/>
  <c r="M297" i="1" s="1"/>
  <c r="P216" i="1"/>
  <c r="AJ216" i="1"/>
  <c r="Y237" i="1"/>
  <c r="AC237" i="1"/>
  <c r="AO237" i="1"/>
  <c r="AS237" i="1"/>
  <c r="U237" i="1"/>
  <c r="G222" i="1"/>
  <c r="AB215" i="1"/>
  <c r="AJ215" i="1"/>
  <c r="AR215" i="1"/>
  <c r="AN215" i="1"/>
  <c r="L215" i="1"/>
  <c r="X215" i="1"/>
  <c r="P215" i="1"/>
  <c r="P222" i="1" s="1"/>
  <c r="T215" i="1"/>
  <c r="AF215" i="1"/>
  <c r="BD215" i="1"/>
  <c r="AV215" i="1"/>
  <c r="AZ215" i="1"/>
  <c r="AK237" i="1"/>
  <c r="AS256" i="1" l="1"/>
  <c r="AS297" i="1" s="1"/>
  <c r="Y256" i="1"/>
  <c r="Y297" i="1" s="1"/>
  <c r="Y304" i="1" s="1"/>
  <c r="U256" i="1"/>
  <c r="U297" i="1" s="1"/>
  <c r="U304" i="1" s="1"/>
  <c r="AO256" i="1"/>
  <c r="AO297" i="1" s="1"/>
  <c r="AO304" i="1" s="1"/>
  <c r="AC256" i="1"/>
  <c r="AC297" i="1" s="1"/>
  <c r="AC304" i="1" s="1"/>
  <c r="AK256" i="1"/>
  <c r="AK297" i="1" s="1"/>
  <c r="BA304" i="1"/>
  <c r="Q304" i="1"/>
  <c r="AU302" i="1"/>
  <c r="AI302" i="1"/>
  <c r="K302" i="1"/>
  <c r="AY302" i="1"/>
  <c r="AM309" i="1"/>
  <c r="K309" i="1"/>
  <c r="AE309" i="1"/>
  <c r="BC309" i="1"/>
  <c r="AA302" i="1"/>
  <c r="AA309" i="1"/>
  <c r="AU309" i="1"/>
  <c r="AI309" i="1"/>
  <c r="O309" i="1"/>
  <c r="AQ309" i="1"/>
  <c r="S309" i="1"/>
  <c r="W309" i="1"/>
  <c r="AY309" i="1"/>
  <c r="L270" i="1"/>
  <c r="P270" i="1"/>
  <c r="M270" i="1"/>
  <c r="J222" i="1"/>
  <c r="I222" i="1"/>
  <c r="I223" i="1"/>
  <c r="J223" i="1"/>
  <c r="AR222" i="1"/>
  <c r="L222" i="1"/>
  <c r="X222" i="1"/>
  <c r="AV223" i="1"/>
  <c r="P223" i="1"/>
  <c r="P255" i="1" s="1"/>
  <c r="O258" i="1" s="1"/>
  <c r="X223" i="1"/>
  <c r="L223" i="1"/>
  <c r="AJ223" i="1"/>
  <c r="AJ222" i="1"/>
  <c r="AF223" i="1"/>
  <c r="AB222" i="1"/>
  <c r="BE297" i="1"/>
  <c r="AZ223" i="1"/>
  <c r="T223" i="1"/>
  <c r="AN223" i="1"/>
  <c r="BD223" i="1"/>
  <c r="AV222" i="1"/>
  <c r="M304" i="1"/>
  <c r="M274" i="1"/>
  <c r="M272" i="1"/>
  <c r="M273" i="1"/>
  <c r="P271" i="1"/>
  <c r="M271" i="1"/>
  <c r="P274" i="1"/>
  <c r="P273" i="1"/>
  <c r="P272" i="1"/>
  <c r="BC302" i="1"/>
  <c r="L274" i="1"/>
  <c r="L273" i="1"/>
  <c r="L272" i="1"/>
  <c r="L271" i="1"/>
  <c r="AR223" i="1"/>
  <c r="AZ222" i="1"/>
  <c r="T222" i="1"/>
  <c r="BD222" i="1"/>
  <c r="AN222" i="1"/>
  <c r="AF222" i="1"/>
  <c r="AB223" i="1"/>
  <c r="AG304" i="1"/>
  <c r="AW304" i="1"/>
  <c r="AE302" i="1"/>
  <c r="AM302" i="1"/>
  <c r="AR255" i="1" l="1"/>
  <c r="AQ258" i="1" s="1"/>
  <c r="AY263" i="1"/>
  <c r="AI263" i="1"/>
  <c r="AM263" i="1"/>
  <c r="O311" i="1"/>
  <c r="AE263" i="1"/>
  <c r="AU263" i="1"/>
  <c r="K311" i="1"/>
  <c r="K263" i="1"/>
  <c r="O263" i="1"/>
  <c r="BC263" i="1"/>
  <c r="W263" i="1"/>
  <c r="S263" i="1"/>
  <c r="AQ263" i="1"/>
  <c r="AA263" i="1"/>
  <c r="AE311" i="1"/>
  <c r="AY311" i="1"/>
  <c r="AI311" i="1"/>
  <c r="AM311" i="1"/>
  <c r="BE304" i="1"/>
  <c r="BC311" i="1"/>
  <c r="W311" i="1"/>
  <c r="AQ311" i="1"/>
  <c r="AA311" i="1"/>
  <c r="S311" i="1"/>
  <c r="AU311" i="1"/>
  <c r="L255" i="1"/>
  <c r="K258" i="1" s="1"/>
  <c r="X255" i="1"/>
  <c r="W258" i="1" s="1"/>
  <c r="AV255" i="1"/>
  <c r="AU258" i="1" s="1"/>
  <c r="P296" i="1"/>
  <c r="AJ255" i="1"/>
  <c r="AI258" i="1" s="1"/>
  <c r="T255" i="1"/>
  <c r="S258" i="1" s="1"/>
  <c r="AZ255" i="1"/>
  <c r="AB255" i="1"/>
  <c r="AF255" i="1"/>
  <c r="AN255" i="1"/>
  <c r="AM258" i="1" s="1"/>
  <c r="BD255" i="1"/>
  <c r="BC258" i="1" s="1"/>
  <c r="S325" i="1"/>
  <c r="Q325" i="1"/>
  <c r="M329" i="1"/>
  <c r="M321" i="1"/>
  <c r="L325" i="1"/>
  <c r="L328" i="1"/>
  <c r="L320" i="1"/>
  <c r="S324" i="1"/>
  <c r="Q324" i="1"/>
  <c r="M328" i="1"/>
  <c r="M320" i="1"/>
  <c r="L324" i="1"/>
  <c r="Q328" i="1"/>
  <c r="S323" i="1"/>
  <c r="Q323" i="1"/>
  <c r="M327" i="1"/>
  <c r="M319" i="1"/>
  <c r="L323" i="1"/>
  <c r="S328" i="1"/>
  <c r="S320" i="1"/>
  <c r="M324" i="1"/>
  <c r="S322" i="1"/>
  <c r="Q322" i="1"/>
  <c r="M326" i="1"/>
  <c r="M318" i="1"/>
  <c r="L322" i="1"/>
  <c r="Q320" i="1"/>
  <c r="S329" i="1"/>
  <c r="S321" i="1"/>
  <c r="Q329" i="1"/>
  <c r="Q321" i="1"/>
  <c r="M325" i="1"/>
  <c r="L329" i="1"/>
  <c r="L321" i="1"/>
  <c r="S327" i="1"/>
  <c r="S319" i="1"/>
  <c r="Q327" i="1"/>
  <c r="Q319" i="1"/>
  <c r="M323" i="1"/>
  <c r="L327" i="1"/>
  <c r="L319" i="1"/>
  <c r="S326" i="1"/>
  <c r="S318" i="1"/>
  <c r="Q326" i="1"/>
  <c r="Q318" i="1"/>
  <c r="M322" i="1"/>
  <c r="L326" i="1"/>
  <c r="L318" i="1"/>
  <c r="AS304" i="1"/>
  <c r="AK304" i="1"/>
  <c r="AR296" i="1" l="1"/>
  <c r="AQ299" i="1" s="1"/>
  <c r="AQ306" i="1" s="1"/>
  <c r="AC271" i="1"/>
  <c r="AC270" i="1"/>
  <c r="AB275" i="1"/>
  <c r="AF271" i="1"/>
  <c r="AC272" i="1"/>
  <c r="AF270" i="1"/>
  <c r="AB271" i="1"/>
  <c r="AB270" i="1"/>
  <c r="AB272" i="1"/>
  <c r="AC275" i="1"/>
  <c r="AF272" i="1"/>
  <c r="AK318" i="1"/>
  <c r="AC274" i="1"/>
  <c r="AC273" i="1"/>
  <c r="AF273" i="1"/>
  <c r="AB273" i="1"/>
  <c r="AB274" i="1"/>
  <c r="AF274" i="1"/>
  <c r="AF275" i="1"/>
  <c r="AZ296" i="1"/>
  <c r="AZ303" i="1" s="1"/>
  <c r="AY258" i="1"/>
  <c r="AB296" i="1"/>
  <c r="AA258" i="1"/>
  <c r="AR303" i="1"/>
  <c r="O299" i="1"/>
  <c r="O306" i="1" s="1"/>
  <c r="AF296" i="1"/>
  <c r="AF303" i="1" s="1"/>
  <c r="AE258" i="1"/>
  <c r="AV296" i="1"/>
  <c r="L296" i="1"/>
  <c r="X296" i="1"/>
  <c r="AJ296" i="1"/>
  <c r="P303" i="1"/>
  <c r="T296" i="1"/>
  <c r="BD296" i="1"/>
  <c r="BC262" i="1"/>
  <c r="AM262" i="1"/>
  <c r="AA262" i="1"/>
  <c r="AQ262" i="1"/>
  <c r="AN296" i="1"/>
  <c r="AI262" i="1"/>
  <c r="AY262" i="1"/>
  <c r="S262" i="1"/>
  <c r="AU262" i="1"/>
  <c r="W262" i="1"/>
  <c r="K262" i="1"/>
  <c r="AE262" i="1"/>
  <c r="O262" i="1"/>
  <c r="O265" i="1" l="1"/>
  <c r="AQ310" i="1"/>
  <c r="AE265" i="1"/>
  <c r="AM310" i="1"/>
  <c r="AM299" i="1"/>
  <c r="AM306" i="1" s="1"/>
  <c r="X303" i="1"/>
  <c r="W310" i="1"/>
  <c r="W299" i="1"/>
  <c r="W306" i="1" s="1"/>
  <c r="BD303" i="1"/>
  <c r="BC310" i="1"/>
  <c r="BC299" i="1"/>
  <c r="BC306" i="1" s="1"/>
  <c r="AE310" i="1"/>
  <c r="AE299" i="1"/>
  <c r="AE306" i="1" s="1"/>
  <c r="AU310" i="1"/>
  <c r="AU299" i="1"/>
  <c r="AU306" i="1" s="1"/>
  <c r="S310" i="1"/>
  <c r="S299" i="1"/>
  <c r="S306" i="1" s="1"/>
  <c r="AB303" i="1"/>
  <c r="AA310" i="1"/>
  <c r="AA299" i="1"/>
  <c r="AA306" i="1" s="1"/>
  <c r="AY310" i="1"/>
  <c r="AY299" i="1"/>
  <c r="AY306" i="1" s="1"/>
  <c r="L303" i="1"/>
  <c r="K310" i="1"/>
  <c r="Y318" i="1" s="1"/>
  <c r="K299" i="1"/>
  <c r="K306" i="1" s="1"/>
  <c r="AJ303" i="1"/>
  <c r="AI310" i="1"/>
  <c r="AI299" i="1"/>
  <c r="AI306" i="1" s="1"/>
  <c r="O310" i="1"/>
  <c r="X270" i="1"/>
  <c r="U270" i="1"/>
  <c r="T270" i="1"/>
  <c r="K265" i="1"/>
  <c r="AY265" i="1"/>
  <c r="S265" i="1"/>
  <c r="AU265" i="1"/>
  <c r="AM265" i="1"/>
  <c r="AA265" i="1"/>
  <c r="W265" i="1"/>
  <c r="AI265" i="1"/>
  <c r="BC265" i="1"/>
  <c r="AQ265" i="1"/>
  <c r="AV303" i="1"/>
  <c r="T303" i="1"/>
  <c r="AN303" i="1"/>
  <c r="T275" i="1"/>
  <c r="U273" i="1"/>
  <c r="X273" i="1"/>
  <c r="U275" i="1"/>
  <c r="T271" i="1"/>
  <c r="X274" i="1"/>
  <c r="T272" i="1"/>
  <c r="X275" i="1"/>
  <c r="T273" i="1"/>
  <c r="U271" i="1"/>
  <c r="U274" i="1"/>
  <c r="X271" i="1"/>
  <c r="U272" i="1"/>
  <c r="X272" i="1"/>
  <c r="T274" i="1"/>
  <c r="M16" i="3"/>
  <c r="AU313" i="1" l="1"/>
  <c r="O313" i="1"/>
  <c r="AI313" i="1"/>
  <c r="AQ313" i="1"/>
  <c r="AY313" i="1"/>
  <c r="AA313" i="1"/>
  <c r="K313" i="1"/>
  <c r="AE313" i="1"/>
  <c r="AM313" i="1"/>
  <c r="W313" i="1"/>
  <c r="S313" i="1"/>
  <c r="BC313" i="1"/>
  <c r="AC324" i="1"/>
  <c r="AC319" i="1"/>
  <c r="Y321" i="1"/>
  <c r="X327" i="1"/>
  <c r="AC327" i="1"/>
  <c r="X321" i="1"/>
  <c r="Y322" i="1"/>
  <c r="Y323" i="1"/>
  <c r="Y324" i="1"/>
  <c r="X329" i="1"/>
  <c r="AE323" i="1"/>
  <c r="AC322" i="1"/>
  <c r="Y325" i="1"/>
  <c r="AC321" i="1"/>
  <c r="Y326" i="1"/>
  <c r="AC318" i="1"/>
  <c r="AC326" i="1"/>
  <c r="AE318" i="1"/>
  <c r="AE320" i="1"/>
  <c r="AC325" i="1"/>
  <c r="AE328" i="1"/>
  <c r="AE321" i="1"/>
  <c r="X326" i="1"/>
  <c r="X325" i="1"/>
  <c r="AC320" i="1"/>
  <c r="AE322" i="1"/>
  <c r="AC328" i="1"/>
  <c r="Y329" i="1"/>
  <c r="AE319" i="1"/>
  <c r="Y319" i="1"/>
  <c r="AE327" i="1"/>
  <c r="Y327" i="1"/>
  <c r="AE325" i="1"/>
  <c r="Y328" i="1"/>
  <c r="AE324" i="1"/>
  <c r="Y320" i="1"/>
  <c r="AE329" i="1"/>
  <c r="X328" i="1"/>
  <c r="X324" i="1"/>
  <c r="X323" i="1"/>
  <c r="AC329" i="1"/>
  <c r="AE326" i="1"/>
  <c r="X322" i="1"/>
  <c r="AC323" i="1"/>
  <c r="X318" i="1"/>
  <c r="X319" i="1"/>
  <c r="X320" i="1"/>
  <c r="AI335" i="1" l="1"/>
  <c r="AQ324" i="1"/>
  <c r="AK327" i="1"/>
  <c r="AJ322" i="1"/>
  <c r="AJ329" i="1"/>
  <c r="AK323" i="1"/>
  <c r="AJ326" i="1"/>
  <c r="AQ326" i="1"/>
  <c r="AO324" i="1"/>
  <c r="AK319" i="1"/>
  <c r="AQ328" i="1"/>
  <c r="AJ321" i="1"/>
  <c r="AJ327" i="1"/>
  <c r="AJ318" i="1"/>
  <c r="AQ322" i="1"/>
  <c r="AK321" i="1"/>
  <c r="AK324" i="1"/>
  <c r="AO329" i="1"/>
  <c r="AO326" i="1"/>
  <c r="AO327" i="1"/>
  <c r="AK322" i="1"/>
  <c r="AQ325" i="1"/>
  <c r="AK328" i="1"/>
  <c r="AJ323" i="1"/>
  <c r="AJ328" i="1"/>
  <c r="AQ320" i="1"/>
  <c r="AJ319" i="1"/>
  <c r="AJ324" i="1"/>
  <c r="AQ327" i="1"/>
  <c r="AQ319" i="1"/>
  <c r="AQ323" i="1"/>
  <c r="AK326" i="1"/>
  <c r="AO321" i="1"/>
  <c r="AO320" i="1"/>
  <c r="AO319" i="1"/>
  <c r="AO325" i="1"/>
  <c r="AK320" i="1"/>
  <c r="AJ320" i="1"/>
  <c r="AQ329" i="1"/>
  <c r="AO328" i="1"/>
  <c r="AK329" i="1"/>
  <c r="AQ321" i="1"/>
  <c r="AQ318" i="1"/>
  <c r="AO322" i="1"/>
  <c r="AO323" i="1"/>
  <c r="AK325" i="1"/>
  <c r="AJ325" i="1"/>
  <c r="AO318" i="1"/>
  <c r="AK343" i="1"/>
  <c r="AI344" i="1"/>
  <c r="AI342" i="1"/>
  <c r="AE335" i="1"/>
  <c r="AK342" i="1"/>
  <c r="AK345" i="1"/>
  <c r="AK346" i="1"/>
  <c r="AI341" i="1"/>
  <c r="AD343" i="1"/>
  <c r="AD335" i="1"/>
  <c r="AK338" i="1"/>
  <c r="AK336" i="1"/>
  <c r="AI338" i="1"/>
  <c r="AD337" i="1"/>
  <c r="AD345" i="1"/>
  <c r="AK339" i="1"/>
  <c r="AK337" i="1"/>
  <c r="AK335" i="1"/>
  <c r="AI346" i="1"/>
  <c r="AD340" i="1"/>
  <c r="AE345" i="1"/>
  <c r="AE336" i="1"/>
  <c r="AE337" i="1"/>
  <c r="AE346" i="1"/>
  <c r="AD336" i="1"/>
  <c r="AD338" i="1"/>
  <c r="AD341" i="1"/>
  <c r="AK344" i="1"/>
  <c r="AK341" i="1"/>
  <c r="AD339" i="1"/>
  <c r="AE344" i="1"/>
  <c r="AE341" i="1"/>
  <c r="AI340" i="1"/>
  <c r="AK340" i="1"/>
  <c r="AD344" i="1"/>
  <c r="AD346" i="1"/>
  <c r="AE343" i="1"/>
  <c r="AI337" i="1"/>
  <c r="AE342" i="1"/>
  <c r="AE339" i="1"/>
  <c r="AD342" i="1"/>
  <c r="AE340" i="1"/>
  <c r="AI339" i="1"/>
  <c r="AE338" i="1"/>
  <c r="AI343" i="1"/>
  <c r="AI336" i="1"/>
  <c r="AI345" i="1"/>
</calcChain>
</file>

<file path=xl/sharedStrings.xml><?xml version="1.0" encoding="utf-8"?>
<sst xmlns="http://schemas.openxmlformats.org/spreadsheetml/2006/main" count="1282" uniqueCount="330">
  <si>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</si>
  <si>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</si>
  <si>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</si>
  <si>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</si>
  <si>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</si>
  <si>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</si>
  <si>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</si>
  <si>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</si>
  <si>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</si>
  <si>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</si>
  <si>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</si>
  <si>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</si>
  <si>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 xml:space="preserve"> Calcio-balilla</t>
  </si>
  <si>
    <t xml:space="preserve"> Ping-pong</t>
  </si>
  <si>
    <t xml:space="preserve"> Freccette</t>
  </si>
  <si>
    <t>1° TURNO</t>
  </si>
  <si>
    <t>Calcio-balilla
(doppio)</t>
  </si>
  <si>
    <t>Partita 1</t>
  </si>
  <si>
    <t>Partita 2</t>
  </si>
  <si>
    <t>Partita 3</t>
  </si>
  <si>
    <t>Partita 4</t>
  </si>
  <si>
    <t>Partita 5</t>
  </si>
  <si>
    <t>Partita 6</t>
  </si>
  <si>
    <t>Partita 7</t>
  </si>
  <si>
    <t>Partita 8</t>
  </si>
  <si>
    <t>2° TURNO</t>
  </si>
  <si>
    <t>3° TURNO</t>
  </si>
  <si>
    <t>TOTALE (pesato)</t>
  </si>
  <si>
    <t>Punteggi e classifiche</t>
  </si>
  <si>
    <t>Punteggi e classifiche dei gironi di qualificazione</t>
  </si>
  <si>
    <t>minuti a partita</t>
  </si>
  <si>
    <t>partite a calcio-balilla</t>
  </si>
  <si>
    <t>minuti</t>
  </si>
  <si>
    <t>A freccette si arriva a 220</t>
  </si>
  <si>
    <t>A ping-pong si arriva a 11</t>
  </si>
  <si>
    <t>partite a ping-pong</t>
  </si>
  <si>
    <t>minuti a pallina</t>
  </si>
  <si>
    <t>Se si arriva a 6:</t>
  </si>
  <si>
    <t>5 minuti a partita</t>
  </si>
  <si>
    <t>45 minuti totali</t>
  </si>
  <si>
    <t>Se si arriva a 12</t>
  </si>
  <si>
    <t>4 minuti a partita</t>
  </si>
  <si>
    <t>36 minuti totali</t>
  </si>
  <si>
    <t>Se si arriva a 240:</t>
  </si>
  <si>
    <t>6 minuti a partita</t>
  </si>
  <si>
    <t>55 minuti totali</t>
  </si>
  <si>
    <t>Se si arriva a 180:</t>
  </si>
  <si>
    <t>4,62 minuti</t>
  </si>
  <si>
    <t>41 minuti totali</t>
  </si>
  <si>
    <t>Se si arriva a 5:</t>
  </si>
  <si>
    <t>Se si arriva a 10:</t>
  </si>
  <si>
    <t>3,33 minuti</t>
  </si>
  <si>
    <t>Se si arriva a 150:</t>
  </si>
  <si>
    <t>3,85 minuti a partita</t>
  </si>
  <si>
    <t>34,65 minuti</t>
  </si>
  <si>
    <t>30 minuti</t>
  </si>
  <si>
    <t>5,6 minuti a partita</t>
  </si>
  <si>
    <t>50 minuti totali</t>
  </si>
  <si>
    <t>Se si arriva a 14:</t>
  </si>
  <si>
    <t>4,662 minuti a partita</t>
  </si>
  <si>
    <t>41,958 minuti totali</t>
  </si>
  <si>
    <t>5,39 miinuti a partita</t>
  </si>
  <si>
    <t>48,51 minuti totali</t>
  </si>
  <si>
    <t>Se si arriva a 210:</t>
  </si>
  <si>
    <t>Se si arriva a 7:</t>
  </si>
  <si>
    <t>Se si arriva a 21:</t>
  </si>
  <si>
    <t>6,993 minuti a partita</t>
  </si>
  <si>
    <t>62,937 minuti totali</t>
  </si>
  <si>
    <t>8 minuti a partita</t>
  </si>
  <si>
    <t>72 minuti totali</t>
  </si>
  <si>
    <r>
      <t>Calcio-balilla</t>
    </r>
    <r>
      <rPr>
        <sz val="14"/>
        <color theme="1"/>
        <rFont val="Tahoma"/>
        <family val="2"/>
      </rPr>
      <t xml:space="preserve"> (in doppio)</t>
    </r>
  </si>
  <si>
    <t>Partite</t>
  </si>
  <si>
    <t>Punteggi</t>
  </si>
  <si>
    <t>N° partita</t>
  </si>
  <si>
    <t>Giocatori</t>
  </si>
  <si>
    <t>Risultato</t>
  </si>
  <si>
    <t>Giocat. C1</t>
  </si>
  <si>
    <t>Giocat. C2</t>
  </si>
  <si>
    <t>Giocat. C3</t>
  </si>
  <si>
    <t>Giocat. C4</t>
  </si>
  <si>
    <t>C1 C2 – C3 C4</t>
  </si>
  <si>
    <t>C1 C3 – C2 C4</t>
  </si>
  <si>
    <t>C1 C4 – C2 C3</t>
  </si>
  <si>
    <t>Punteggio finale</t>
  </si>
  <si>
    <t>Classifica finale</t>
  </si>
  <si>
    <t>partite</t>
  </si>
  <si>
    <t>punti</t>
  </si>
  <si>
    <t>minuti totali</t>
  </si>
  <si>
    <r>
      <t xml:space="preserve">Freccette </t>
    </r>
    <r>
      <rPr>
        <sz val="14"/>
        <color theme="1"/>
        <rFont val="Tahoma"/>
        <family val="2"/>
      </rPr>
      <t>(singolare)</t>
    </r>
  </si>
  <si>
    <t>Turno</t>
  </si>
  <si>
    <t>Classifica</t>
  </si>
  <si>
    <t>Semifinale A</t>
  </si>
  <si>
    <t>(due su tre)</t>
  </si>
  <si>
    <t>F1 – F4</t>
  </si>
  <si>
    <t>Semifinale B</t>
  </si>
  <si>
    <t>F2 – F3</t>
  </si>
  <si>
    <t>Finale</t>
  </si>
  <si>
    <t>3° e 4° posto</t>
  </si>
  <si>
    <t>FA2 – FB2</t>
  </si>
  <si>
    <t>Finalissima</t>
  </si>
  <si>
    <t>1° e 2° posto</t>
  </si>
  <si>
    <t>FA1 – FB1</t>
  </si>
  <si>
    <t>Giocatori: C1 = ..., C2 = ..., C3 = ..., C4 = …</t>
  </si>
  <si>
    <t>Orario di fine turno: …</t>
  </si>
  <si>
    <t xml:space="preserve"> – </t>
  </si>
  <si>
    <r>
      <t xml:space="preserve">Vincitore (FA1): </t>
    </r>
    <r>
      <rPr>
        <sz val="11"/>
        <color rgb="FF808080"/>
        <rFont val="Tahoma"/>
        <family val="2"/>
      </rPr>
      <t>…</t>
    </r>
  </si>
  <si>
    <r>
      <t xml:space="preserve">Sconfitto (FA2): </t>
    </r>
    <r>
      <rPr>
        <sz val="11"/>
        <color rgb="FF808080"/>
        <rFont val="Tahoma"/>
        <family val="2"/>
      </rPr>
      <t>…</t>
    </r>
  </si>
  <si>
    <r>
      <t xml:space="preserve">Vincitore (FB1): </t>
    </r>
    <r>
      <rPr>
        <sz val="11"/>
        <color rgb="FF808080"/>
        <rFont val="Tahoma"/>
        <family val="2"/>
      </rPr>
      <t>…</t>
    </r>
  </si>
  <si>
    <r>
      <t xml:space="preserve">Sconfitto (FB2): </t>
    </r>
    <r>
      <rPr>
        <sz val="11"/>
        <color rgb="FF808080"/>
        <rFont val="Tahoma"/>
        <family val="2"/>
      </rPr>
      <t>…</t>
    </r>
  </si>
  <si>
    <r>
      <t xml:space="preserve">3° classificato: </t>
    </r>
    <r>
      <rPr>
        <sz val="11"/>
        <color rgb="FF808080"/>
        <rFont val="Tahoma"/>
        <family val="2"/>
      </rPr>
      <t>…</t>
    </r>
  </si>
  <si>
    <r>
      <t xml:space="preserve">1° classificato: </t>
    </r>
    <r>
      <rPr>
        <sz val="11"/>
        <color rgb="FF808080"/>
        <rFont val="Tahoma"/>
        <family val="2"/>
      </rPr>
      <t>…</t>
    </r>
  </si>
  <si>
    <t>2° classificato: …</t>
  </si>
  <si>
    <t>5,39 minuti a partita</t>
  </si>
  <si>
    <t>da 9 a 14 partite</t>
  </si>
  <si>
    <t>da 48,5 a 75,5 minuti totali</t>
  </si>
  <si>
    <t>da 34,6 a 53,9 minuti totali</t>
  </si>
  <si>
    <t>62 minuti totali di media</t>
  </si>
  <si>
    <t>44,25 minuti totali di media</t>
  </si>
  <si>
    <t>Si finisce alle ore 18.30</t>
  </si>
  <si>
    <t>Si finisce alle 19.15</t>
  </si>
  <si>
    <t>Si finisce alle 19.30</t>
  </si>
  <si>
    <t>P1 – P4</t>
  </si>
  <si>
    <t>P2 – P3</t>
  </si>
  <si>
    <t>PA2 – PB2</t>
  </si>
  <si>
    <t>PA1 – PB1</t>
  </si>
  <si>
    <r>
      <t xml:space="preserve">Ping-pong </t>
    </r>
    <r>
      <rPr>
        <sz val="14"/>
        <color theme="1"/>
        <rFont val="Tahoma"/>
        <family val="2"/>
      </rPr>
      <t>(singolare)</t>
    </r>
  </si>
  <si>
    <t>Giocatori: F1 = ..., F2 = ..., F3 = ..., F4 = …</t>
  </si>
  <si>
    <t>Orario di fine turno: …</t>
  </si>
  <si>
    <t>7 minuti a partita</t>
  </si>
  <si>
    <t>da 9 a 12 partite</t>
  </si>
  <si>
    <t>da 34,6 a 46,2 minuti totali</t>
  </si>
  <si>
    <t>40,4 minuti totali di media</t>
  </si>
  <si>
    <t>Si finisce alle 19.10</t>
  </si>
  <si>
    <t>…</t>
  </si>
  <si>
    <t>(partita secca)</t>
  </si>
  <si>
    <t>da 6 a 8 partite</t>
  </si>
  <si>
    <t>da 32 a 43,12 minuti totali</t>
  </si>
  <si>
    <t>37,6 minuti totali di media</t>
  </si>
  <si>
    <t>Si finisce alle ore 18.24</t>
  </si>
  <si>
    <t>Si finisce alle 19.00</t>
  </si>
  <si>
    <t>4° classificato: …</t>
  </si>
  <si>
    <t>da 42 a 56 minuti totali</t>
  </si>
  <si>
    <t>49 minuti totali di media</t>
  </si>
  <si>
    <t>Si finisce alle 20:00</t>
  </si>
  <si>
    <t>% su totale calcio-balilla</t>
  </si>
  <si>
    <t>% su totale freccette</t>
  </si>
  <si>
    <t>% su totale ping-pong</t>
  </si>
  <si>
    <t>% su TOTALE</t>
  </si>
  <si>
    <t>Punti girone finale</t>
  </si>
  <si>
    <t>TOTALE calcio-balilla</t>
  </si>
  <si>
    <t>TOTALE freccette</t>
  </si>
  <si>
    <t>TOTALE ping-pong</t>
  </si>
  <si>
    <t>Calcio-balilla</t>
  </si>
  <si>
    <t>Freccette</t>
  </si>
  <si>
    <t>Ping-pong</t>
  </si>
  <si>
    <t>TOTALE finale</t>
  </si>
  <si>
    <t>CLASSIFICA FINALE</t>
  </si>
  <si>
    <t>Classifica finale calcio-balilla</t>
  </si>
  <si>
    <t>Classifica finale freccette</t>
  </si>
  <si>
    <t>Classifica finale ping-pong</t>
  </si>
  <si>
    <t>GIRONE FINALE</t>
  </si>
  <si>
    <t>GIRONE DI QUALIFICAZIONE</t>
  </si>
  <si>
    <t>Freccette (pesato)</t>
  </si>
  <si>
    <t>Finale 3°-4°</t>
  </si>
  <si>
    <t>Finale 1°-2°</t>
  </si>
  <si>
    <t>Calcio-balilla (pesato)</t>
  </si>
  <si>
    <t>Ping-pong (pesato)</t>
  </si>
  <si>
    <t>Classifica 1° girone calcio-balilla</t>
  </si>
  <si>
    <t>Classifica 1° girone freccette</t>
  </si>
  <si>
    <t>Classifica 1° girone ping-pong</t>
  </si>
  <si>
    <t>Classifica generale
girone di qualificazione</t>
  </si>
  <si>
    <t>C1 C4 – C3 C5</t>
  </si>
  <si>
    <t>C2 C3 – C4 C5</t>
  </si>
  <si>
    <t>Giocat. C5</t>
  </si>
  <si>
    <t>Quarti Q1</t>
  </si>
  <si>
    <t>Quarti Q2</t>
  </si>
  <si>
    <t>Finale 5°-6°</t>
  </si>
  <si>
    <t>C3 C4</t>
  </si>
  <si>
    <t>C1 C2</t>
  </si>
  <si>
    <t>C1 C3</t>
  </si>
  <si>
    <t>C2 C5</t>
  </si>
  <si>
    <t>C1 C5</t>
  </si>
  <si>
    <t>C2 C4</t>
  </si>
  <si>
    <t>C1 C4</t>
  </si>
  <si>
    <t>C3 C5</t>
  </si>
  <si>
    <t>C2 C3</t>
  </si>
  <si>
    <t>C4 C5</t>
  </si>
  <si>
    <t>F4</t>
  </si>
  <si>
    <t>F5</t>
  </si>
  <si>
    <t>F6</t>
  </si>
  <si>
    <t>QF3</t>
  </si>
  <si>
    <t>QF4</t>
  </si>
  <si>
    <t>F1</t>
  </si>
  <si>
    <t>QF1</t>
  </si>
  <si>
    <t>F2</t>
  </si>
  <si>
    <t>QF2</t>
  </si>
  <si>
    <t>FA2</t>
  </si>
  <si>
    <t>FB2</t>
  </si>
  <si>
    <t>FA1</t>
  </si>
  <si>
    <t>FB1</t>
  </si>
  <si>
    <t>P4</t>
  </si>
  <si>
    <t>P5</t>
  </si>
  <si>
    <t>P3</t>
  </si>
  <si>
    <t>P6</t>
  </si>
  <si>
    <t>QP3</t>
  </si>
  <si>
    <t>QP4</t>
  </si>
  <si>
    <t>P1</t>
  </si>
  <si>
    <t>QP1</t>
  </si>
  <si>
    <t>P2</t>
  </si>
  <si>
    <t>QP2</t>
  </si>
  <si>
    <t>PA2</t>
  </si>
  <si>
    <t>PB2</t>
  </si>
  <si>
    <t>PA1</t>
  </si>
  <si>
    <t>PB1</t>
  </si>
  <si>
    <t>1°</t>
  </si>
  <si>
    <t>2°</t>
  </si>
  <si>
    <t>3°</t>
  </si>
  <si>
    <t>4°</t>
  </si>
  <si>
    <t>5°</t>
  </si>
  <si>
    <t>6°</t>
  </si>
  <si>
    <t>C1</t>
  </si>
  <si>
    <t>C2</t>
  </si>
  <si>
    <t>C3</t>
  </si>
  <si>
    <t>C4</t>
  </si>
  <si>
    <t>C5</t>
  </si>
  <si>
    <t>F3</t>
  </si>
  <si>
    <t>Freccette
(pesato)</t>
  </si>
  <si>
    <t>Ping-pong
(pesato)</t>
  </si>
  <si>
    <t>GIRONE FINALE AD ELIMINAZIONE DIRETTA</t>
  </si>
  <si>
    <t>7°</t>
  </si>
  <si>
    <t>8°</t>
  </si>
  <si>
    <t>9°</t>
  </si>
  <si>
    <t>10°</t>
  </si>
  <si>
    <t>11°</t>
  </si>
  <si>
    <t>12°</t>
  </si>
  <si>
    <t>Classifica finale complessiva</t>
  </si>
  <si>
    <t>CLASSIFICHE FINALI</t>
  </si>
  <si>
    <t>Classifica girone finale calcio-balilla</t>
  </si>
  <si>
    <t>Classifica girone finale freccette</t>
  </si>
  <si>
    <t>Classifica girone finale ping-pong</t>
  </si>
  <si>
    <t>Classifica generale girone finale</t>
  </si>
  <si>
    <t>TOTALE PUNTI FATTI DAGLI AVVERSARI</t>
  </si>
  <si>
    <t>TOTALE PUNTI FATTI (non pesato)</t>
  </si>
  <si>
    <t>Basket</t>
  </si>
  <si>
    <t xml:space="preserve"> Basket</t>
  </si>
  <si>
    <t>Basket
(ingolare)</t>
  </si>
  <si>
    <t>Ping-pong
(singolare)</t>
  </si>
  <si>
    <t>Freccette (pesato)
(singolare)</t>
  </si>
  <si>
    <t>Freccette
(singolare)</t>
  </si>
  <si>
    <t>AE</t>
  </si>
  <si>
    <t>CG</t>
  </si>
  <si>
    <t>CE</t>
  </si>
  <si>
    <t>BH</t>
  </si>
  <si>
    <t>KL</t>
  </si>
  <si>
    <t>FJ</t>
  </si>
  <si>
    <t>BE</t>
  </si>
  <si>
    <t>AI</t>
  </si>
  <si>
    <t>AH</t>
  </si>
  <si>
    <t>DF</t>
  </si>
  <si>
    <t>BG</t>
  </si>
  <si>
    <t>HJ</t>
  </si>
  <si>
    <t>FI</t>
  </si>
  <si>
    <t>AL</t>
  </si>
  <si>
    <t>DL</t>
  </si>
  <si>
    <t>HK</t>
  </si>
  <si>
    <t>AF</t>
  </si>
  <si>
    <t>CI</t>
  </si>
  <si>
    <t>DE</t>
  </si>
  <si>
    <t>FL</t>
  </si>
  <si>
    <t>GJ</t>
  </si>
  <si>
    <t>EK</t>
  </si>
  <si>
    <t>BL</t>
  </si>
  <si>
    <t>BI</t>
  </si>
  <si>
    <t>AK</t>
  </si>
  <si>
    <t>DG</t>
  </si>
  <si>
    <t>CK</t>
  </si>
  <si>
    <t>EH</t>
  </si>
  <si>
    <t>HI</t>
  </si>
  <si>
    <t>DK</t>
  </si>
  <si>
    <t>BJ</t>
  </si>
  <si>
    <t>AJ</t>
  </si>
  <si>
    <t>FG</t>
  </si>
  <si>
    <t>EL</t>
  </si>
  <si>
    <t>CF</t>
  </si>
  <si>
    <t>BK</t>
  </si>
  <si>
    <t>HL</t>
  </si>
  <si>
    <t>IL</t>
  </si>
  <si>
    <t>JK</t>
  </si>
  <si>
    <t>BD</t>
  </si>
  <si>
    <t>B1</t>
  </si>
  <si>
    <t>B2</t>
  </si>
  <si>
    <t>B3</t>
  </si>
  <si>
    <t>B4</t>
  </si>
  <si>
    <t>B5</t>
  </si>
  <si>
    <t>B6</t>
  </si>
  <si>
    <t>% su totale basket</t>
  </si>
  <si>
    <t>Classifica 1° girone basket</t>
  </si>
  <si>
    <t>Basket
(singolare)</t>
  </si>
  <si>
    <t>Basket (pesato)
(singolare)</t>
  </si>
  <si>
    <t>Con peso freccette (1) (1 * 4 * 210 punti = 840)</t>
  </si>
  <si>
    <t>Con peso ping-pong (15) (15 * 4 * 14 punti = 840)</t>
  </si>
  <si>
    <t>Con peso basket (15) (15 * 4 * 14 punti = 840)</t>
  </si>
  <si>
    <t>TOTALE PUNTI (non pesato, ma togliendo punti avversari)</t>
  </si>
  <si>
    <t>Basket
(pesato)</t>
  </si>
  <si>
    <t>QB3</t>
  </si>
  <si>
    <t>QB4</t>
  </si>
  <si>
    <t>QB1</t>
  </si>
  <si>
    <t>QB2</t>
  </si>
  <si>
    <t>BA2</t>
  </si>
  <si>
    <t>BB2</t>
  </si>
  <si>
    <t>BA1</t>
  </si>
  <si>
    <t>BB1</t>
  </si>
  <si>
    <t>Classifica girone finale basket</t>
  </si>
  <si>
    <t>Basket (pesato)</t>
  </si>
  <si>
    <t>TOTALE basket</t>
  </si>
  <si>
    <t>Classifica finale basket</t>
  </si>
  <si>
    <t>Con peso calcio-balilla (21) (21 * 8 * 5 punti = 840)</t>
  </si>
  <si>
    <t>Gianni</t>
  </si>
  <si>
    <t>Pietro</t>
  </si>
  <si>
    <t>Matheus</t>
  </si>
  <si>
    <t>Alberto</t>
  </si>
  <si>
    <t>Stefano</t>
  </si>
  <si>
    <t>Camila</t>
  </si>
  <si>
    <t>Aurelio</t>
  </si>
  <si>
    <t>Gianluca</t>
  </si>
  <si>
    <t>Alessandro</t>
  </si>
  <si>
    <t>Emma</t>
  </si>
  <si>
    <t>Magda</t>
  </si>
  <si>
    <t>Massimo</t>
  </si>
  <si>
    <t>NOLImpiadi - 6° edizione - Domenica 19 giugno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</si>
</sst>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0.000%"/>
  </numFmts>
  <fonts count="24" x14ac:knownFonts="1"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4"/>
      <color theme="1"/>
      <name val="Tahoma"/>
      <family val="2"/>
    </font>
    <font>
      <b/>
      <sz val="14"/>
      <color rgb="FF000000"/>
      <name val="Tahoma"/>
      <family val="2"/>
    </font>
    <font>
      <b/>
      <sz val="11"/>
      <color rgb="FF000000"/>
      <name val="Tahoma"/>
      <family val="2"/>
    </font>
    <font>
      <sz val="14"/>
      <color theme="1"/>
      <name val="Tahoma"/>
      <family val="2"/>
    </font>
    <font>
      <sz val="14"/>
      <color rgb="FF000000"/>
      <name val="Tahoma"/>
      <family val="2"/>
    </font>
    <font>
      <b/>
      <sz val="15"/>
      <color rgb="FF000000"/>
      <name val="Tahoma"/>
      <family val="2"/>
    </font>
    <font>
      <sz val="11"/>
      <color theme="1"/>
      <name val="Tahoma"/>
      <family val="2"/>
    </font>
    <font>
      <sz val="11"/>
      <color rgb="FF808080"/>
      <name val="Tahoma"/>
      <family val="2"/>
    </font>
    <font>
      <sz val="11"/>
      <color theme="1" tint="0.499984740745262"/>
      <name val="Tahoma"/>
      <family val="2"/>
    </font>
    <font>
      <b/>
      <sz val="12"/>
      <color theme="1"/>
      <name val="Tahoma"/>
      <family val="2"/>
    </font>
    <font>
      <b/>
      <sz val="16"/>
      <color theme="1"/>
      <name val="Tahoma"/>
      <family val="2"/>
    </font>
    <font>
      <b/>
      <sz val="18"/>
      <color theme="1"/>
      <name val="Tahoma"/>
      <family val="2"/>
    </font>
    <font>
      <sz val="11"/>
      <name val="Tahoma"/>
      <family val="2"/>
    </font>
    <font>
      <u/>
      <sz val="48"/>
      <color theme="1"/>
      <name val="Tahoma"/>
      <family val="2"/>
    </font>
    <font>
      <u/>
      <sz val="24"/>
      <color theme="1"/>
      <name val="Tahoma"/>
      <family val="2"/>
    </font>
    <font>
      <sz val="8"/>
      <name val="Tahoma"/>
      <family val="2"/>
    </font>
    <font>
      <sz val="16"/>
      <color theme="1"/>
      <name val="Tahoma"/>
      <family val="2"/>
    </font>
    <font>
      <sz val="11"/>
      <color rgb="FF000000"/>
      <name val="Tahoma"/>
      <family val="2"/>
    </font>
    <font>
      <b/>
      <sz val="11"/>
      <color theme="0"/>
      <name val="Tahoma"/>
      <family val="2"/>
    </font>
    <font>
      <sz val="28"/>
      <color theme="1"/>
      <name val="Tahoma"/>
      <family val="2"/>
    </font>
    <font>
      <u/>
      <sz val="72"/>
      <color theme="1"/>
      <name val="Tahoma"/>
      <family val="2"/>
    </font>
    <font>
      <b/>
      <sz val="20"/>
      <color theme="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lightTrellis">
        <bgColor theme="0" tint="-0.14996795556505021"/>
      </patternFill>
    </fill>
    <fill>
      <patternFill patternType="solid">
        <fgColor rgb="FFFFFF00"/>
        <bgColor indexed="64"/>
      </patternFill>
    </fill>
    <fill>
      <patternFill patternType="solid">
        <fgColor rgb="FF79D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324">
    <border>
      <left/>
      <right/>
      <top/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0" tint="-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0" tint="-0.34998626667073579"/>
      </right>
      <top/>
      <bottom style="medium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1" tint="0.34998626667073579"/>
      </top>
      <bottom style="thin">
        <color theme="0" tint="-0.24994659260841701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thin">
        <color theme="0" tint="-0.24994659260841701"/>
      </top>
      <bottom style="medium">
        <color theme="1" tint="0.34998626667073579"/>
      </bottom>
      <diagonal/>
    </border>
    <border>
      <left style="medium">
        <color rgb="FF595959"/>
      </left>
      <right/>
      <top style="thin">
        <color rgb="FFA6A6A6"/>
      </top>
      <bottom style="medium">
        <color rgb="FF595959"/>
      </bottom>
      <diagonal/>
    </border>
    <border>
      <left/>
      <right/>
      <top style="thin">
        <color rgb="FFA6A6A6"/>
      </top>
      <bottom style="medium">
        <color rgb="FF595959"/>
      </bottom>
      <diagonal/>
    </border>
    <border>
      <left/>
      <right style="medium">
        <color rgb="FF595959"/>
      </right>
      <top style="thin">
        <color rgb="FFA6A6A6"/>
      </top>
      <bottom style="medium">
        <color rgb="FF595959"/>
      </bottom>
      <diagonal/>
    </border>
    <border>
      <left style="medium">
        <color rgb="FF595959"/>
      </left>
      <right style="thin">
        <color rgb="FFA6A6A6"/>
      </right>
      <top style="medium">
        <color rgb="FF595959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 style="medium">
        <color rgb="FF595959"/>
      </top>
      <bottom style="medium">
        <color rgb="FF595959"/>
      </bottom>
      <diagonal/>
    </border>
    <border>
      <left style="thin">
        <color rgb="FFA6A6A6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  <border>
      <left style="medium">
        <color rgb="FF595959"/>
      </left>
      <right style="medium">
        <color rgb="FF595959"/>
      </right>
      <top/>
      <bottom/>
      <diagonal/>
    </border>
    <border>
      <left style="thin">
        <color theme="0" tint="-0.34998626667073579"/>
      </left>
      <right style="medium">
        <color auto="1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BFBFBF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14990691854609822"/>
      </left>
      <right style="thin">
        <color theme="0" tint="-0.499984740745262"/>
      </right>
      <top style="medium">
        <color theme="1" tint="0.149906918546098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14990691854609822"/>
      </top>
      <bottom style="thin">
        <color theme="0" tint="-0.499984740745262"/>
      </bottom>
      <diagonal/>
    </border>
    <border>
      <left style="medium">
        <color theme="1" tint="0.1499069185460982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1499069185460982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90691854609822"/>
      </left>
      <right style="thin">
        <color theme="0" tint="-0.499984740745262"/>
      </right>
      <top style="thin">
        <color theme="0" tint="-0.499984740745262"/>
      </top>
      <bottom style="medium">
        <color theme="1" tint="0.149906918546098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14990691854609822"/>
      </bottom>
      <diagonal/>
    </border>
    <border>
      <left style="thin">
        <color theme="0" tint="-0.499984740745262"/>
      </left>
      <right style="medium">
        <color theme="1" tint="0.14990691854609822"/>
      </right>
      <top style="thin">
        <color theme="0" tint="-0.499984740745262"/>
      </top>
      <bottom style="medium">
        <color theme="1" tint="0.14990691854609822"/>
      </bottom>
      <diagonal/>
    </border>
    <border>
      <left style="medium">
        <color theme="1" tint="0.14990691854609822"/>
      </left>
      <right style="thin">
        <color theme="0" tint="-0.499984740745262"/>
      </right>
      <top style="thin">
        <color theme="0" tint="-0.499984740745262"/>
      </top>
      <bottom style="medium">
        <color theme="1" tint="0.14987640003662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149876400036622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149876400036622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 tint="0.1499069185460982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14990691854609822"/>
      </right>
      <top/>
      <bottom style="thin">
        <color theme="0" tint="-0.499984740745262"/>
      </bottom>
      <diagonal/>
    </border>
    <border>
      <left style="medium">
        <color rgb="FF595959"/>
      </left>
      <right style="thin">
        <color rgb="FF595959"/>
      </right>
      <top/>
      <bottom style="thin">
        <color rgb="FFBFBFBF"/>
      </bottom>
      <diagonal/>
    </border>
    <border>
      <left/>
      <right style="medium">
        <color theme="1" tint="0.34998626667073579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/>
      </left>
      <right style="dashed">
        <color theme="1"/>
      </right>
      <top style="medium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 style="medium">
        <color theme="1"/>
      </top>
      <bottom style="dashed">
        <color theme="1"/>
      </bottom>
      <diagonal/>
    </border>
    <border>
      <left style="dashed">
        <color theme="1"/>
      </left>
      <right style="medium">
        <color theme="1"/>
      </right>
      <top style="medium">
        <color theme="1"/>
      </top>
      <bottom style="dashed">
        <color theme="1"/>
      </bottom>
      <diagonal/>
    </border>
    <border>
      <left style="medium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medium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/>
      </left>
      <right style="dashed">
        <color theme="1"/>
      </right>
      <top style="dashed">
        <color theme="1"/>
      </top>
      <bottom style="medium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medium">
        <color theme="1"/>
      </bottom>
      <diagonal/>
    </border>
    <border>
      <left style="dashed">
        <color theme="1"/>
      </left>
      <right style="medium">
        <color theme="1"/>
      </right>
      <top style="dashed">
        <color theme="1"/>
      </top>
      <bottom style="medium">
        <color theme="1"/>
      </bottom>
      <diagonal/>
    </border>
    <border>
      <left style="dashed">
        <color theme="1"/>
      </left>
      <right/>
      <top style="medium">
        <color theme="1"/>
      </top>
      <bottom style="dashed">
        <color theme="1"/>
      </bottom>
      <diagonal/>
    </border>
    <border>
      <left/>
      <right/>
      <top style="medium">
        <color theme="1"/>
      </top>
      <bottom style="dashed">
        <color theme="1"/>
      </bottom>
      <diagonal/>
    </border>
    <border>
      <left/>
      <right style="dashed">
        <color theme="1"/>
      </right>
      <top style="medium">
        <color theme="1"/>
      </top>
      <bottom style="dashed">
        <color theme="1"/>
      </bottom>
      <diagonal/>
    </border>
    <border>
      <left style="dashed">
        <color theme="1"/>
      </left>
      <right/>
      <top style="dashed">
        <color theme="1"/>
      </top>
      <bottom style="medium">
        <color theme="1"/>
      </bottom>
      <diagonal/>
    </border>
    <border>
      <left/>
      <right/>
      <top style="dashed">
        <color theme="1"/>
      </top>
      <bottom style="medium">
        <color theme="1"/>
      </bottom>
      <diagonal/>
    </border>
    <border>
      <left/>
      <right style="dashed">
        <color theme="1"/>
      </right>
      <top style="dashed">
        <color theme="1"/>
      </top>
      <bottom style="medium">
        <color theme="1"/>
      </bottom>
      <diagonal/>
    </border>
    <border>
      <left style="dashed">
        <color theme="1"/>
      </left>
      <right/>
      <top style="dashed">
        <color theme="1"/>
      </top>
      <bottom style="dashed">
        <color theme="1"/>
      </bottom>
      <diagonal/>
    </border>
    <border>
      <left/>
      <right/>
      <top style="dashed">
        <color theme="1"/>
      </top>
      <bottom style="dashed">
        <color theme="1"/>
      </bottom>
      <diagonal/>
    </border>
    <border>
      <left/>
      <right style="dashed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 tint="0.1498458815271462"/>
      </left>
      <right/>
      <top/>
      <bottom/>
      <diagonal/>
    </border>
    <border>
      <left style="medium">
        <color theme="1" tint="0.1498458815271462"/>
      </left>
      <right style="dashed">
        <color theme="1" tint="0.14981536301767021"/>
      </right>
      <top/>
      <bottom/>
      <diagonal/>
    </border>
    <border>
      <left style="medium">
        <color theme="1" tint="0.1498458815271462"/>
      </left>
      <right style="dashed">
        <color theme="1" tint="0.14981536301767021"/>
      </right>
      <top/>
      <bottom style="medium">
        <color theme="1" tint="0.14990691854609822"/>
      </bottom>
      <diagonal/>
    </border>
    <border>
      <left style="medium">
        <color theme="1" tint="0.1498458815271462"/>
      </left>
      <right style="dashed">
        <color theme="1" tint="0.14981536301767021"/>
      </right>
      <top style="medium">
        <color theme="1" tint="0.14990691854609822"/>
      </top>
      <bottom/>
      <diagonal/>
    </border>
    <border>
      <left style="medium">
        <color theme="1" tint="0.1498458815271462"/>
      </left>
      <right style="dashed">
        <color theme="1" tint="0.14981536301767021"/>
      </right>
      <top/>
      <bottom style="medium">
        <color theme="1" tint="0.14993743705557422"/>
      </bottom>
      <diagonal/>
    </border>
    <border>
      <left style="dashed">
        <color theme="1" tint="0.14981536301767021"/>
      </left>
      <right/>
      <top style="medium">
        <color theme="1" tint="0.14996795556505021"/>
      </top>
      <bottom style="thin">
        <color theme="1" tint="0.14996795556505021"/>
      </bottom>
      <diagonal/>
    </border>
    <border>
      <left style="dashed">
        <color theme="1" tint="0.14981536301767021"/>
      </left>
      <right/>
      <top style="thin">
        <color theme="1" tint="0.14996795556505021"/>
      </top>
      <bottom style="thin">
        <color theme="1" tint="0.14996795556505021"/>
      </bottom>
      <diagonal/>
    </border>
    <border>
      <left style="dashed">
        <color theme="1" tint="0.14981536301767021"/>
      </left>
      <right/>
      <top style="thin">
        <color theme="1" tint="0.14996795556505021"/>
      </top>
      <bottom style="medium">
        <color theme="1" tint="0.14996795556505021"/>
      </bottom>
      <diagonal/>
    </border>
    <border>
      <left style="medium">
        <color theme="1" tint="0.14993743705557422"/>
      </left>
      <right style="dashed">
        <color theme="1" tint="0.14993743705557422"/>
      </right>
      <top style="medium">
        <color theme="1" tint="0.14993743705557422"/>
      </top>
      <bottom style="dashed">
        <color theme="1" tint="0.14993743705557422"/>
      </bottom>
      <diagonal/>
    </border>
    <border>
      <left style="dashed">
        <color theme="1" tint="0.14993743705557422"/>
      </left>
      <right style="medium">
        <color theme="1" tint="0.14993743705557422"/>
      </right>
      <top style="medium">
        <color theme="1" tint="0.14993743705557422"/>
      </top>
      <bottom style="dashed">
        <color theme="1" tint="0.14993743705557422"/>
      </bottom>
      <diagonal/>
    </border>
    <border>
      <left style="medium">
        <color theme="1" tint="0.14993743705557422"/>
      </left>
      <right style="dashed">
        <color theme="1" tint="0.14993743705557422"/>
      </right>
      <top style="dashed">
        <color theme="1" tint="0.14993743705557422"/>
      </top>
      <bottom style="dashed">
        <color theme="1" tint="0.14993743705557422"/>
      </bottom>
      <diagonal/>
    </border>
    <border>
      <left style="dashed">
        <color theme="1" tint="0.14993743705557422"/>
      </left>
      <right style="medium">
        <color theme="1" tint="0.14993743705557422"/>
      </right>
      <top style="dashed">
        <color theme="1" tint="0.14993743705557422"/>
      </top>
      <bottom style="dashed">
        <color theme="1" tint="0.14993743705557422"/>
      </bottom>
      <diagonal/>
    </border>
    <border>
      <left style="medium">
        <color theme="1" tint="0.14993743705557422"/>
      </left>
      <right style="dashed">
        <color theme="1" tint="0.14993743705557422"/>
      </right>
      <top style="dashed">
        <color theme="1" tint="0.14993743705557422"/>
      </top>
      <bottom style="medium">
        <color theme="1" tint="0.14993743705557422"/>
      </bottom>
      <diagonal/>
    </border>
    <border>
      <left style="dashed">
        <color theme="1" tint="0.14993743705557422"/>
      </left>
      <right style="medium">
        <color theme="1" tint="0.14993743705557422"/>
      </right>
      <top style="dashed">
        <color theme="1" tint="0.14993743705557422"/>
      </top>
      <bottom style="medium">
        <color theme="1" tint="0.1499374370555742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1" tint="0.14990691854609822"/>
      </bottom>
      <diagonal/>
    </border>
    <border>
      <left/>
      <right style="medium">
        <color theme="1" tint="0.34998626667073579"/>
      </right>
      <top/>
      <bottom style="thin">
        <color theme="0" tint="-0.34998626667073579"/>
      </bottom>
      <diagonal/>
    </border>
    <border>
      <left style="dashed">
        <color theme="1" tint="0.14981536301767021"/>
      </left>
      <right/>
      <top/>
      <bottom style="thin">
        <color theme="1" tint="0.14996795556505021"/>
      </bottom>
      <diagonal/>
    </border>
    <border>
      <left/>
      <right style="thin">
        <color theme="0" tint="-0.499984740745262"/>
      </right>
      <top style="medium">
        <color theme="1" tint="0.1499069185460982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1" tint="0.1498764000366222"/>
      </bottom>
      <diagonal/>
    </border>
    <border>
      <left style="medium">
        <color rgb="FF595959"/>
      </left>
      <right/>
      <top/>
      <bottom/>
      <diagonal/>
    </border>
    <border>
      <left style="medium">
        <color rgb="FF595959"/>
      </left>
      <right/>
      <top style="medium">
        <color rgb="FF595959"/>
      </top>
      <bottom style="dashed">
        <color theme="1" tint="0.499984740745262"/>
      </bottom>
      <diagonal/>
    </border>
    <border>
      <left/>
      <right style="medium">
        <color rgb="FF595959"/>
      </right>
      <top style="medium">
        <color rgb="FF595959"/>
      </top>
      <bottom style="dashed">
        <color theme="1" tint="0.499984740745262"/>
      </bottom>
      <diagonal/>
    </border>
    <border>
      <left style="medium">
        <color rgb="FF595959"/>
      </left>
      <right/>
      <top style="dashed">
        <color theme="1" tint="0.499984740745262"/>
      </top>
      <bottom style="dashed">
        <color theme="1" tint="0.499984740745262"/>
      </bottom>
      <diagonal/>
    </border>
    <border>
      <left/>
      <right style="medium">
        <color rgb="FF595959"/>
      </right>
      <top style="dashed">
        <color theme="1" tint="0.499984740745262"/>
      </top>
      <bottom style="dashed">
        <color theme="1" tint="0.499984740745262"/>
      </bottom>
      <diagonal/>
    </border>
    <border>
      <left style="medium">
        <color theme="1" tint="0.14993743705557422"/>
      </left>
      <right style="dashed">
        <color theme="1" tint="0.14993743705557422"/>
      </right>
      <top/>
      <bottom style="dashed">
        <color theme="1" tint="0.14993743705557422"/>
      </bottom>
      <diagonal/>
    </border>
    <border>
      <left style="dashed">
        <color theme="1" tint="0.14993743705557422"/>
      </left>
      <right style="medium">
        <color theme="1" tint="0.14993743705557422"/>
      </right>
      <top/>
      <bottom style="dashed">
        <color theme="1" tint="0.14993743705557422"/>
      </bottom>
      <diagonal/>
    </border>
    <border>
      <left style="medium">
        <color theme="1"/>
      </left>
      <right style="dashed">
        <color theme="1"/>
      </right>
      <top/>
      <bottom style="medium">
        <color theme="1"/>
      </bottom>
      <diagonal/>
    </border>
    <border>
      <left style="dashed">
        <color theme="1"/>
      </left>
      <right style="dashed">
        <color theme="1"/>
      </right>
      <top/>
      <bottom style="medium">
        <color theme="1"/>
      </bottom>
      <diagonal/>
    </border>
    <border>
      <left style="dashed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 tint="0.34998626667073579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 tint="0.34998626667073579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/>
      <top/>
      <bottom style="dashed">
        <color theme="1"/>
      </bottom>
      <diagonal/>
    </border>
    <border>
      <left/>
      <right/>
      <top/>
      <bottom style="dashed">
        <color theme="1"/>
      </bottom>
      <diagonal/>
    </border>
    <border>
      <left/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 style="dashed">
        <color theme="1"/>
      </right>
      <top style="medium">
        <color theme="1" tint="0.34998626667073579"/>
      </top>
      <bottom style="dashed">
        <color theme="1"/>
      </bottom>
      <diagonal/>
    </border>
    <border>
      <left style="dashed">
        <color theme="1"/>
      </left>
      <right style="medium">
        <color theme="1"/>
      </right>
      <top style="medium">
        <color theme="1" tint="0.34998626667073579"/>
      </top>
      <bottom style="dashed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 style="medium">
        <color theme="1" tint="0.1498458815271462"/>
      </left>
      <right/>
      <top/>
      <bottom style="medium">
        <color theme="1" tint="0.1498458815271462"/>
      </bottom>
      <diagonal/>
    </border>
    <border>
      <left style="medium">
        <color theme="1" tint="0.14981536301767021"/>
      </left>
      <right/>
      <top style="medium">
        <color theme="1" tint="0.14981536301767021"/>
      </top>
      <bottom style="dashed">
        <color theme="1" tint="0.14981536301767021"/>
      </bottom>
      <diagonal/>
    </border>
    <border>
      <left/>
      <right/>
      <top style="medium">
        <color theme="1" tint="0.14981536301767021"/>
      </top>
      <bottom style="dashed">
        <color theme="1" tint="0.14981536301767021"/>
      </bottom>
      <diagonal/>
    </border>
    <border>
      <left/>
      <right style="medium">
        <color theme="1" tint="0.14981536301767021"/>
      </right>
      <top style="medium">
        <color theme="1" tint="0.14981536301767021"/>
      </top>
      <bottom style="dashed">
        <color theme="1" tint="0.14981536301767021"/>
      </bottom>
      <diagonal/>
    </border>
    <border>
      <left style="medium">
        <color theme="1" tint="0.14981536301767021"/>
      </left>
      <right/>
      <top style="dashed">
        <color theme="1" tint="0.14981536301767021"/>
      </top>
      <bottom style="dashed">
        <color theme="1" tint="0.14981536301767021"/>
      </bottom>
      <diagonal/>
    </border>
    <border>
      <left/>
      <right/>
      <top style="dashed">
        <color theme="1" tint="0.14981536301767021"/>
      </top>
      <bottom style="dashed">
        <color theme="1" tint="0.14981536301767021"/>
      </bottom>
      <diagonal/>
    </border>
    <border>
      <left/>
      <right style="medium">
        <color theme="1" tint="0.14981536301767021"/>
      </right>
      <top style="dashed">
        <color theme="1" tint="0.14981536301767021"/>
      </top>
      <bottom style="dashed">
        <color theme="1" tint="0.14981536301767021"/>
      </bottom>
      <diagonal/>
    </border>
    <border>
      <left style="medium">
        <color theme="1" tint="0.14981536301767021"/>
      </left>
      <right/>
      <top style="dashed">
        <color theme="1" tint="0.14981536301767021"/>
      </top>
      <bottom/>
      <diagonal/>
    </border>
    <border>
      <left/>
      <right/>
      <top style="dashed">
        <color theme="1" tint="0.14981536301767021"/>
      </top>
      <bottom/>
      <diagonal/>
    </border>
    <border>
      <left/>
      <right style="medium">
        <color theme="1" tint="0.14981536301767021"/>
      </right>
      <top style="dashed">
        <color theme="1" tint="0.14981536301767021"/>
      </top>
      <bottom/>
      <diagonal/>
    </border>
    <border>
      <left style="medium">
        <color theme="1" tint="0.14978484450819421"/>
      </left>
      <right/>
      <top style="medium">
        <color theme="1" tint="0.14978484450819421"/>
      </top>
      <bottom style="medium">
        <color theme="1" tint="0.14978484450819421"/>
      </bottom>
      <diagonal/>
    </border>
    <border>
      <left/>
      <right/>
      <top style="medium">
        <color theme="1" tint="0.14978484450819421"/>
      </top>
      <bottom style="medium">
        <color theme="1" tint="0.14978484450819421"/>
      </bottom>
      <diagonal/>
    </border>
    <border>
      <left/>
      <right style="medium">
        <color theme="1" tint="0.14978484450819421"/>
      </right>
      <top style="medium">
        <color theme="1" tint="0.14978484450819421"/>
      </top>
      <bottom style="medium">
        <color theme="1" tint="0.14978484450819421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rgb="FF595959"/>
      </top>
      <bottom style="medium">
        <color indexed="64"/>
      </bottom>
      <diagonal/>
    </border>
    <border>
      <left/>
      <right/>
      <top style="medium">
        <color rgb="FF595959"/>
      </top>
      <bottom style="medium">
        <color indexed="64"/>
      </bottom>
      <diagonal/>
    </border>
    <border>
      <left/>
      <right style="medium">
        <color theme="1" tint="0.34998626667073579"/>
      </right>
      <top style="medium">
        <color rgb="FF59595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 tint="0.14993743705557422"/>
      </left>
      <right style="medium">
        <color theme="1" tint="0.34998626667073579"/>
      </right>
      <top/>
      <bottom style="medium">
        <color theme="1" tint="0.14990691854609822"/>
      </bottom>
      <diagonal/>
    </border>
    <border>
      <left/>
      <right style="medium">
        <color theme="1" tint="0.1498764000366222"/>
      </right>
      <top/>
      <bottom style="medium">
        <color theme="1" tint="0.14990691854609822"/>
      </bottom>
      <diagonal/>
    </border>
    <border>
      <left/>
      <right/>
      <top style="medium">
        <color rgb="FF595959"/>
      </top>
      <bottom style="thin">
        <color rgb="FFA6A6A6"/>
      </bottom>
      <diagonal/>
    </border>
    <border>
      <left/>
      <right style="thin">
        <color theme="0" tint="-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 style="dashed">
        <color theme="1"/>
      </left>
      <right/>
      <top style="medium">
        <color theme="1" tint="0.34998626667073579"/>
      </top>
      <bottom style="dashed">
        <color theme="1"/>
      </bottom>
      <diagonal/>
    </border>
    <border>
      <left style="medium">
        <color rgb="FF595959"/>
      </left>
      <right/>
      <top style="medium">
        <color rgb="FF595959"/>
      </top>
      <bottom style="thin">
        <color rgb="FFA6A6A6"/>
      </bottom>
      <diagonal/>
    </border>
    <border>
      <left/>
      <right style="medium">
        <color rgb="FF595959"/>
      </right>
      <top style="medium">
        <color rgb="FF595959"/>
      </top>
      <bottom style="thin">
        <color rgb="FFA6A6A6"/>
      </bottom>
      <diagonal/>
    </border>
    <border>
      <left style="medium">
        <color indexed="64"/>
      </left>
      <right style="medium">
        <color rgb="FF595959"/>
      </right>
      <top style="medium">
        <color rgb="FF595959"/>
      </top>
      <bottom/>
      <diagonal/>
    </border>
    <border>
      <left style="medium">
        <color indexed="64"/>
      </left>
      <right style="medium">
        <color rgb="FF595959"/>
      </right>
      <top/>
      <bottom/>
      <diagonal/>
    </border>
    <border>
      <left style="medium">
        <color indexed="64"/>
      </left>
      <right style="medium">
        <color rgb="FF595959"/>
      </right>
      <top/>
      <bottom style="medium">
        <color rgb="FF595959"/>
      </bottom>
      <diagonal/>
    </border>
    <border>
      <left style="thin">
        <color rgb="FF595959"/>
      </left>
      <right/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dashed">
        <color rgb="FF595959"/>
      </right>
      <top style="medium">
        <color rgb="FF595959"/>
      </top>
      <bottom style="dashed">
        <color rgb="FF595959"/>
      </bottom>
      <diagonal/>
    </border>
    <border>
      <left style="dashed">
        <color rgb="FF595959"/>
      </left>
      <right style="dashed">
        <color rgb="FF595959"/>
      </right>
      <top style="medium">
        <color rgb="FF595959"/>
      </top>
      <bottom style="dashed">
        <color rgb="FF595959"/>
      </bottom>
      <diagonal/>
    </border>
    <border>
      <left style="dashed">
        <color rgb="FF595959"/>
      </left>
      <right style="medium">
        <color rgb="FF595959"/>
      </right>
      <top style="medium">
        <color rgb="FF595959"/>
      </top>
      <bottom style="dashed">
        <color rgb="FF595959"/>
      </bottom>
      <diagonal/>
    </border>
    <border>
      <left style="medium">
        <color rgb="FF595959"/>
      </left>
      <right style="dashed">
        <color rgb="FF595959"/>
      </right>
      <top style="dashed">
        <color rgb="FF595959"/>
      </top>
      <bottom style="dashed">
        <color rgb="FF595959"/>
      </bottom>
      <diagonal/>
    </border>
    <border>
      <left style="dashed">
        <color rgb="FF595959"/>
      </left>
      <right style="dashed">
        <color rgb="FF595959"/>
      </right>
      <top style="dashed">
        <color rgb="FF595959"/>
      </top>
      <bottom style="dashed">
        <color rgb="FF595959"/>
      </bottom>
      <diagonal/>
    </border>
    <border>
      <left style="dashed">
        <color rgb="FF595959"/>
      </left>
      <right style="medium">
        <color rgb="FF595959"/>
      </right>
      <top style="dashed">
        <color rgb="FF595959"/>
      </top>
      <bottom style="dashed">
        <color rgb="FF595959"/>
      </bottom>
      <diagonal/>
    </border>
    <border>
      <left style="medium">
        <color rgb="FF595959"/>
      </left>
      <right style="dashed">
        <color rgb="FF595959"/>
      </right>
      <top style="dashed">
        <color rgb="FF595959"/>
      </top>
      <bottom style="medium">
        <color rgb="FF595959"/>
      </bottom>
      <diagonal/>
    </border>
    <border>
      <left style="dashed">
        <color rgb="FF595959"/>
      </left>
      <right style="dashed">
        <color rgb="FF595959"/>
      </right>
      <top style="dashed">
        <color rgb="FF595959"/>
      </top>
      <bottom style="medium">
        <color rgb="FF595959"/>
      </bottom>
      <diagonal/>
    </border>
    <border>
      <left style="dashed">
        <color rgb="FF595959"/>
      </left>
      <right style="medium">
        <color rgb="FF595959"/>
      </right>
      <top style="dashed">
        <color rgb="FF595959"/>
      </top>
      <bottom style="medium">
        <color rgb="FF595959"/>
      </bottom>
      <diagonal/>
    </border>
    <border>
      <left style="thin">
        <color theme="0" tint="-0.34998626667073579"/>
      </left>
      <right style="medium">
        <color auto="1"/>
      </right>
      <top/>
      <bottom style="medium">
        <color theme="1" tint="0.34998626667073579"/>
      </bottom>
      <diagonal/>
    </border>
    <border>
      <left style="medium">
        <color rgb="FF595959"/>
      </left>
      <right style="dashed">
        <color rgb="FF595959"/>
      </right>
      <top/>
      <bottom style="dashed">
        <color rgb="FF595959"/>
      </bottom>
      <diagonal/>
    </border>
    <border>
      <left style="dashed">
        <color rgb="FF595959"/>
      </left>
      <right style="dashed">
        <color rgb="FF595959"/>
      </right>
      <top/>
      <bottom style="dashed">
        <color rgb="FF595959"/>
      </bottom>
      <diagonal/>
    </border>
    <border>
      <left style="dashed">
        <color rgb="FF595959"/>
      </left>
      <right style="medium">
        <color rgb="FF595959"/>
      </right>
      <top/>
      <bottom style="dashed">
        <color rgb="FF595959"/>
      </bottom>
      <diagonal/>
    </border>
    <border>
      <left style="medium">
        <color rgb="FF595959"/>
      </left>
      <right style="dashed">
        <color rgb="FF595959"/>
      </right>
      <top style="medium">
        <color rgb="FF595959"/>
      </top>
      <bottom style="thin">
        <color theme="0" tint="-0.34998626667073579"/>
      </bottom>
      <diagonal/>
    </border>
    <border>
      <left style="dashed">
        <color rgb="FF595959"/>
      </left>
      <right style="dashed">
        <color rgb="FF595959"/>
      </right>
      <top style="dashed">
        <color rgb="FF595959"/>
      </top>
      <bottom style="thin">
        <color theme="0" tint="-0.34998626667073579"/>
      </bottom>
      <diagonal/>
    </border>
    <border>
      <left style="dashed">
        <color rgb="FF595959"/>
      </left>
      <right style="dashed">
        <color rgb="FF595959"/>
      </right>
      <top style="medium">
        <color rgb="FF595959"/>
      </top>
      <bottom style="thin">
        <color theme="0" tint="-0.34998626667073579"/>
      </bottom>
      <diagonal/>
    </border>
    <border>
      <left style="dashed">
        <color rgb="FF595959"/>
      </left>
      <right style="medium">
        <color rgb="FF595959"/>
      </right>
      <top style="medium">
        <color rgb="FF595959"/>
      </top>
      <bottom style="thin">
        <color theme="0" tint="-0.34998626667073579"/>
      </bottom>
      <diagonal/>
    </border>
    <border>
      <left style="medium">
        <color rgb="FF595959"/>
      </left>
      <right style="dashed">
        <color rgb="FF595959"/>
      </right>
      <top style="thin">
        <color theme="0" tint="-0.34998626667073579"/>
      </top>
      <bottom style="thin">
        <color theme="0" tint="-0.34998626667073579"/>
      </bottom>
      <diagonal/>
    </border>
    <border>
      <left style="dashed">
        <color rgb="FF595959"/>
      </left>
      <right style="dashed">
        <color rgb="FF595959"/>
      </right>
      <top style="thin">
        <color theme="0" tint="-0.34998626667073579"/>
      </top>
      <bottom style="thin">
        <color theme="0" tint="-0.34998626667073579"/>
      </bottom>
      <diagonal/>
    </border>
    <border>
      <left style="dashed">
        <color rgb="FF595959"/>
      </left>
      <right style="medium">
        <color rgb="FF59595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595959"/>
      </left>
      <right style="dashed">
        <color rgb="FF595959"/>
      </right>
      <top style="thin">
        <color theme="0" tint="-0.34998626667073579"/>
      </top>
      <bottom style="medium">
        <color rgb="FF595959"/>
      </bottom>
      <diagonal/>
    </border>
    <border>
      <left style="dashed">
        <color rgb="FF595959"/>
      </left>
      <right style="dashed">
        <color rgb="FF595959"/>
      </right>
      <top style="thin">
        <color theme="0" tint="-0.34998626667073579"/>
      </top>
      <bottom style="medium">
        <color rgb="FF595959"/>
      </bottom>
      <diagonal/>
    </border>
    <border>
      <left style="dashed">
        <color rgb="FF595959"/>
      </left>
      <right style="medium">
        <color rgb="FF595959"/>
      </right>
      <top style="thin">
        <color theme="0" tint="-0.34998626667073579"/>
      </top>
      <bottom style="medium">
        <color rgb="FF595959"/>
      </bottom>
      <diagonal/>
    </border>
    <border>
      <left style="dashed">
        <color rgb="FF595959"/>
      </left>
      <right style="dashed">
        <color rgb="FF595959"/>
      </right>
      <top style="thin">
        <color theme="0" tint="-0.34998626667073579"/>
      </top>
      <bottom style="dashed">
        <color rgb="FF595959"/>
      </bottom>
      <diagonal/>
    </border>
    <border>
      <left style="thin">
        <color theme="0" tint="-0.34998626667073579"/>
      </left>
      <right style="dashed">
        <color rgb="FF595959"/>
      </right>
      <top style="medium">
        <color rgb="FF595959"/>
      </top>
      <bottom style="thin">
        <color theme="0" tint="-0.34998626667073579"/>
      </bottom>
      <diagonal/>
    </border>
    <border>
      <left style="thin">
        <color theme="0" tint="-0.34998626667073579"/>
      </left>
      <right style="dashed">
        <color rgb="FF59595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ashed">
        <color rgb="FF595959"/>
      </right>
      <top style="thin">
        <color theme="0" tint="-0.34998626667073579"/>
      </top>
      <bottom style="medium">
        <color rgb="FF595959"/>
      </bottom>
      <diagonal/>
    </border>
    <border>
      <left style="medium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/>
      <top style="thin">
        <color rgb="FFBFBFBF"/>
      </top>
      <bottom/>
      <diagonal/>
    </border>
    <border>
      <left style="medium">
        <color rgb="FF595959"/>
      </left>
      <right style="thin">
        <color rgb="FF595959"/>
      </right>
      <top style="medium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595959"/>
      </right>
      <top style="medium">
        <color rgb="FF595959"/>
      </top>
      <bottom style="thin">
        <color rgb="FF595959"/>
      </bottom>
      <diagonal/>
    </border>
    <border>
      <left style="medium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595959"/>
      </left>
      <right style="thin">
        <color rgb="FF595959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 style="medium">
        <color rgb="FF595959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/>
      <top/>
      <bottom style="thin">
        <color rgb="FFBFBFBF"/>
      </bottom>
      <diagonal/>
    </border>
    <border>
      <left style="medium">
        <color rgb="FF595959"/>
      </left>
      <right style="dashed">
        <color rgb="FF595959"/>
      </right>
      <top style="dashed">
        <color rgb="FF595959"/>
      </top>
      <bottom/>
      <diagonal/>
    </border>
    <border>
      <left style="dashed">
        <color rgb="FF595959"/>
      </left>
      <right style="dashed">
        <color rgb="FF595959"/>
      </right>
      <top style="dashed">
        <color rgb="FF595959"/>
      </top>
      <bottom/>
      <diagonal/>
    </border>
    <border>
      <left style="dashed">
        <color rgb="FF595959"/>
      </left>
      <right style="medium">
        <color rgb="FF595959"/>
      </right>
      <top style="dashed">
        <color rgb="FF595959"/>
      </top>
      <bottom/>
      <diagonal/>
    </border>
    <border>
      <left style="dashed">
        <color rgb="FF595959"/>
      </left>
      <right style="dashed">
        <color rgb="FF595959"/>
      </right>
      <top style="thin">
        <color theme="0" tint="-0.34998626667073579"/>
      </top>
      <bottom style="medium">
        <color auto="1"/>
      </bottom>
      <diagonal/>
    </border>
    <border>
      <left/>
      <right style="thin">
        <color theme="0" tint="-0.34998626667073579"/>
      </right>
      <top style="medium">
        <color auto="1"/>
      </top>
      <bottom style="medium">
        <color theme="1" tint="0.34998626667073579"/>
      </bottom>
      <diagonal/>
    </border>
    <border>
      <left/>
      <right/>
      <top style="medium">
        <color auto="1"/>
      </top>
      <bottom style="medium">
        <color theme="1" tint="0.34998626667073579"/>
      </bottom>
      <diagonal/>
    </border>
    <border>
      <left style="dashed">
        <color rgb="FF595959"/>
      </left>
      <right style="medium">
        <color rgb="FF595959"/>
      </right>
      <top style="thin">
        <color theme="0" tint="-0.34998626667073579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auto="1"/>
      </top>
      <bottom style="medium">
        <color theme="1" tint="0.34998626667073579"/>
      </bottom>
      <diagonal/>
    </border>
    <border>
      <left style="medium">
        <color indexed="64"/>
      </left>
      <right/>
      <top style="medium">
        <color theme="1" tint="0.34998626667073579"/>
      </top>
      <bottom style="dashed">
        <color indexed="64"/>
      </bottom>
      <diagonal/>
    </border>
    <border>
      <left/>
      <right/>
      <top style="medium">
        <color theme="1" tint="0.34998626667073579"/>
      </top>
      <bottom style="dashed">
        <color indexed="64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ashed">
        <color indexed="64"/>
      </bottom>
      <diagonal/>
    </border>
    <border>
      <left/>
      <right style="medium">
        <color theme="1" tint="0.34998626667073579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theme="1" tint="0.34998626667073579"/>
      </bottom>
      <diagonal/>
    </border>
    <border>
      <left/>
      <right/>
      <top style="dashed">
        <color indexed="64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dashed">
        <color indexed="64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 tint="0.34998626667073579"/>
      </right>
      <top style="medium">
        <color theme="1"/>
      </top>
      <bottom style="medium">
        <color theme="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medium">
        <color auto="1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medium">
        <color auto="1"/>
      </bottom>
      <diagonal/>
    </border>
    <border>
      <left style="medium">
        <color theme="1" tint="0.1499069185460982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1" tint="0.14990691854609822"/>
      </right>
      <top style="thin">
        <color theme="0" tint="-0.499984740745262"/>
      </top>
      <bottom/>
      <diagonal/>
    </border>
    <border>
      <left style="medium">
        <color theme="1" tint="0.14990691854609822"/>
      </left>
      <right style="dashed">
        <color theme="1" tint="0.1498764000366222"/>
      </right>
      <top style="medium">
        <color theme="1" tint="0.1498764000366222"/>
      </top>
      <bottom style="thin">
        <color theme="0" tint="-0.499984740745262"/>
      </bottom>
      <diagonal/>
    </border>
    <border>
      <left style="dashed">
        <color theme="1" tint="0.1498764000366222"/>
      </left>
      <right style="dashed">
        <color theme="1" tint="0.1498764000366222"/>
      </right>
      <top style="medium">
        <color theme="1" tint="0.1498764000366222"/>
      </top>
      <bottom style="thin">
        <color theme="0" tint="-0.499984740745262"/>
      </bottom>
      <diagonal/>
    </border>
    <border>
      <left style="dashed">
        <color theme="1" tint="0.1498764000366222"/>
      </left>
      <right style="medium">
        <color theme="1" tint="0.14990691854609822"/>
      </right>
      <top style="medium">
        <color theme="1" tint="0.1498764000366222"/>
      </top>
      <bottom style="thin">
        <color theme="0" tint="-0.499984740745262"/>
      </bottom>
      <diagonal/>
    </border>
    <border>
      <left style="medium">
        <color theme="1" tint="0.14990691854609822"/>
      </left>
      <right style="dashed">
        <color theme="1" tint="0.1498764000366222"/>
      </right>
      <top/>
      <bottom style="thin">
        <color theme="0" tint="-0.499984740745262"/>
      </bottom>
      <diagonal/>
    </border>
    <border>
      <left style="dashed">
        <color theme="1" tint="0.1498764000366222"/>
      </left>
      <right style="dashed">
        <color theme="1" tint="0.1498764000366222"/>
      </right>
      <top/>
      <bottom style="thin">
        <color theme="0" tint="-0.499984740745262"/>
      </bottom>
      <diagonal/>
    </border>
    <border>
      <left style="dashed">
        <color theme="1" tint="0.1498764000366222"/>
      </left>
      <right style="medium">
        <color theme="1" tint="0.14990691854609822"/>
      </right>
      <top/>
      <bottom style="thin">
        <color theme="0" tint="-0.499984740745262"/>
      </bottom>
      <diagonal/>
    </border>
    <border>
      <left style="dashed">
        <color theme="1" tint="0.1498764000366222"/>
      </left>
      <right style="medium">
        <color theme="1" tint="0.1499069185460982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90691854609822"/>
      </left>
      <right style="dashed">
        <color theme="1" tint="0.149876400036622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1" tint="0.1498764000366222"/>
      </left>
      <right style="dashed">
        <color theme="1" tint="0.149876400036622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90691854609822"/>
      </left>
      <right style="dashed">
        <color theme="1" tint="0.1498764000366222"/>
      </right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8764000366222"/>
      </left>
      <right style="dashed">
        <color theme="1" tint="0.1498764000366222"/>
      </right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8764000366222"/>
      </left>
      <right style="medium">
        <color theme="1" tint="0.14990691854609822"/>
      </right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93743705557422"/>
      </left>
      <right/>
      <top style="medium">
        <color theme="1" tint="0.14993743705557422"/>
      </top>
      <bottom style="dashed">
        <color theme="1" tint="0.14993743705557422"/>
      </bottom>
      <diagonal/>
    </border>
    <border>
      <left style="dashed">
        <color theme="1" tint="0.14993743705557422"/>
      </left>
      <right/>
      <top style="dashed">
        <color theme="1" tint="0.14993743705557422"/>
      </top>
      <bottom style="dashed">
        <color theme="1" tint="0.14993743705557422"/>
      </bottom>
      <diagonal/>
    </border>
    <border>
      <left style="dashed">
        <color theme="1" tint="0.14993743705557422"/>
      </left>
      <right/>
      <top style="dashed">
        <color theme="1" tint="0.14993743705557422"/>
      </top>
      <bottom style="medium">
        <color theme="1" tint="0.14993743705557422"/>
      </bottom>
      <diagonal/>
    </border>
    <border>
      <left/>
      <right/>
      <top/>
      <bottom style="medium">
        <color theme="1" tint="0.14990691854609822"/>
      </bottom>
      <diagonal/>
    </border>
    <border>
      <left style="medium">
        <color theme="1" tint="0.1498458815271462"/>
      </left>
      <right style="dashed">
        <color theme="1" tint="0.1498458815271462"/>
      </right>
      <top style="medium">
        <color theme="1" tint="0.1498764000366222"/>
      </top>
      <bottom style="thin">
        <color theme="0" tint="-0.499984740745262"/>
      </bottom>
      <diagonal/>
    </border>
    <border>
      <left style="dashed">
        <color theme="1" tint="0.1498458815271462"/>
      </left>
      <right style="dashed">
        <color theme="1" tint="0.1498458815271462"/>
      </right>
      <top style="medium">
        <color theme="1" tint="0.1498764000366222"/>
      </top>
      <bottom style="thin">
        <color theme="0" tint="-0.499984740745262"/>
      </bottom>
      <diagonal/>
    </border>
    <border>
      <left style="medium">
        <color theme="1" tint="0.1498458815271462"/>
      </left>
      <right style="dashed">
        <color theme="1" tint="0.1498458815271462"/>
      </right>
      <top/>
      <bottom style="thin">
        <color theme="0" tint="-0.499984740745262"/>
      </bottom>
      <diagonal/>
    </border>
    <border>
      <left style="dashed">
        <color theme="1" tint="0.1498458815271462"/>
      </left>
      <right style="dashed">
        <color theme="1" tint="0.1498458815271462"/>
      </right>
      <top/>
      <bottom style="thin">
        <color theme="0" tint="-0.499984740745262"/>
      </bottom>
      <diagonal/>
    </border>
    <border>
      <left style="dashed">
        <color theme="1" tint="0.1498458815271462"/>
      </left>
      <right style="dashed">
        <color theme="1" tint="0.14984588152714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8458815271462"/>
      </left>
      <right style="dashed">
        <color theme="1" tint="0.14984588152714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8458815271462"/>
      </left>
      <right style="dashed">
        <color theme="1" tint="0.1498458815271462"/>
      </right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8458815271462"/>
      </left>
      <right style="dashed">
        <color theme="1" tint="0.1498458815271462"/>
      </right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8458815271462"/>
      </left>
      <right style="dashed">
        <color theme="1" tint="0.1498458815271462"/>
      </right>
      <top style="thin">
        <color theme="0" tint="-0.499984740745262"/>
      </top>
      <bottom style="medium">
        <color theme="1" tint="0.14990691854609822"/>
      </bottom>
      <diagonal/>
    </border>
    <border>
      <left style="medium">
        <color theme="1" tint="0.1498458815271462"/>
      </left>
      <right style="dashed">
        <color theme="1" tint="0.1498458815271462"/>
      </right>
      <top style="thin">
        <color theme="0" tint="-0.499984740745262"/>
      </top>
      <bottom style="medium">
        <color theme="1" tint="0.1498458815271462"/>
      </bottom>
      <diagonal/>
    </border>
    <border>
      <left style="dashed">
        <color theme="1" tint="0.1498458815271462"/>
      </left>
      <right style="dashed">
        <color theme="1" tint="0.1498458815271462"/>
      </right>
      <top style="thin">
        <color theme="0" tint="-0.499984740745262"/>
      </top>
      <bottom style="medium">
        <color theme="1" tint="0.1498458815271462"/>
      </bottom>
      <diagonal/>
    </border>
    <border>
      <left style="dashed">
        <color theme="1" tint="0.1498458815271462"/>
      </left>
      <right/>
      <top style="medium">
        <color theme="1" tint="0.1498764000366222"/>
      </top>
      <bottom style="thin">
        <color theme="0" tint="-0.499984740745262"/>
      </bottom>
      <diagonal/>
    </border>
    <border>
      <left style="dashed">
        <color theme="1" tint="0.1498458815271462"/>
      </left>
      <right/>
      <top/>
      <bottom style="thin">
        <color theme="0" tint="-0.499984740745262"/>
      </bottom>
      <diagonal/>
    </border>
    <border>
      <left style="dashed">
        <color theme="1" tint="0.14984588152714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1" tint="0.1498458815271462"/>
      </left>
      <right/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8458815271462"/>
      </left>
      <right/>
      <top style="thin">
        <color theme="0" tint="-0.499984740745262"/>
      </top>
      <bottom style="medium">
        <color theme="1" tint="0.1498458815271462"/>
      </bottom>
      <diagonal/>
    </border>
    <border>
      <left style="dashed">
        <color theme="1" tint="0.1498458815271462"/>
      </left>
      <right style="medium">
        <color theme="1" tint="0.14981536301767021"/>
      </right>
      <top style="medium">
        <color theme="1" tint="0.1498764000366222"/>
      </top>
      <bottom style="thin">
        <color theme="0" tint="-0.499984740745262"/>
      </bottom>
      <diagonal/>
    </border>
    <border>
      <left style="dashed">
        <color theme="1" tint="0.1498458815271462"/>
      </left>
      <right style="medium">
        <color theme="1" tint="0.14981536301767021"/>
      </right>
      <top/>
      <bottom style="thin">
        <color theme="0" tint="-0.499984740745262"/>
      </bottom>
      <diagonal/>
    </border>
    <border>
      <left style="dashed">
        <color theme="1" tint="0.1498458815271462"/>
      </left>
      <right style="medium">
        <color theme="1" tint="0.14981536301767021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1" tint="0.1498458815271462"/>
      </left>
      <right style="medium">
        <color theme="1" tint="0.14981536301767021"/>
      </right>
      <top style="thin">
        <color theme="0" tint="-0.499984740745262"/>
      </top>
      <bottom style="medium">
        <color theme="1" tint="0.1498764000366222"/>
      </bottom>
      <diagonal/>
    </border>
    <border>
      <left style="medium">
        <color theme="1" tint="0.14981536301767021"/>
      </left>
      <right/>
      <top style="medium">
        <color theme="1" tint="0.34998626667073579"/>
      </top>
      <bottom style="thin">
        <color theme="0" tint="-0.24994659260841701"/>
      </bottom>
      <diagonal/>
    </border>
    <border>
      <left style="medium">
        <color theme="1" tint="0.1498153630176702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14981536301767021"/>
      </left>
      <right/>
      <top style="thin">
        <color theme="0" tint="-0.24994659260841701"/>
      </top>
      <bottom style="medium">
        <color theme="1" tint="0.34998626667073579"/>
      </bottom>
      <diagonal/>
    </border>
    <border>
      <left style="medium">
        <color theme="1" tint="0.14981536301767021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14978484450819421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499984740745262"/>
      </left>
      <right/>
      <top style="medium">
        <color auto="1"/>
      </top>
      <bottom style="medium">
        <color theme="1" tint="0.499984740745262"/>
      </bottom>
      <diagonal/>
    </border>
    <border>
      <left/>
      <right/>
      <top style="medium">
        <color auto="1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auto="1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auto="1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theme="1" tint="0.34998626667073579"/>
      </left>
      <right/>
      <top style="medium">
        <color indexed="64"/>
      </top>
      <bottom/>
      <diagonal/>
    </border>
    <border>
      <left style="medium">
        <color theme="1" tint="0.34998626667073579"/>
      </left>
      <right/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theme="1" tint="0.499984740745262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ashed">
        <color indexed="64"/>
      </bottom>
      <diagonal/>
    </border>
    <border>
      <left style="medium">
        <color theme="1" tint="0.34998626667073579"/>
      </left>
      <right/>
      <top style="dashed">
        <color indexed="64"/>
      </top>
      <bottom style="dashed">
        <color indexed="64"/>
      </bottom>
      <diagonal/>
    </border>
    <border>
      <left style="medium">
        <color theme="1" tint="0.34998626667073579"/>
      </left>
      <right/>
      <top style="dashed">
        <color indexed="64"/>
      </top>
      <bottom style="medium">
        <color theme="1" tint="0.34998626667073579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16">
    <xf numFmtId="0" fontId="0" fillId="0" borderId="0" xfId="0"/>
    <xf numFmtId="0" fontId="0" fillId="0" borderId="0" xfId="0" applyAlignment="1">
      <alignment horizontal="center"/>
    </xf>
    <xf numFmtId="0" fontId="0" fillId="7" borderId="18" xfId="0" applyFill="1" applyBorder="1" applyAlignment="1">
      <alignment horizontal="center" textRotation="90"/>
    </xf>
    <xf numFmtId="0" fontId="0" fillId="7" borderId="19" xfId="0" applyFill="1" applyBorder="1" applyAlignment="1">
      <alignment horizontal="center" textRotation="90"/>
    </xf>
    <xf numFmtId="0" fontId="0" fillId="7" borderId="20" xfId="0" applyFill="1" applyBorder="1" applyAlignment="1">
      <alignment horizontal="center" textRotation="90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1" fillId="0" borderId="0" xfId="0" applyFont="1"/>
    <xf numFmtId="0" fontId="0" fillId="0" borderId="2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0" borderId="0" xfId="0" applyFont="1"/>
    <xf numFmtId="0" fontId="0" fillId="0" borderId="0" xfId="0" quotePrefix="1"/>
    <xf numFmtId="0" fontId="0" fillId="0" borderId="43" xfId="0" applyBorder="1"/>
    <xf numFmtId="0" fontId="16" fillId="0" borderId="0" xfId="0" applyFont="1" applyAlignment="1">
      <alignment horizontal="center"/>
    </xf>
    <xf numFmtId="164" fontId="0" fillId="5" borderId="7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 textRotation="90" wrapText="1"/>
    </xf>
    <xf numFmtId="0" fontId="0" fillId="0" borderId="0" xfId="0" applyAlignment="1">
      <alignment horizontal="center" vertical="center"/>
    </xf>
    <xf numFmtId="0" fontId="0" fillId="3" borderId="50" xfId="0" quotePrefix="1" applyFill="1" applyBorder="1" applyAlignment="1">
      <alignment horizontal="center" vertical="center"/>
    </xf>
    <xf numFmtId="0" fontId="0" fillId="3" borderId="52" xfId="0" quotePrefix="1" applyFill="1" applyBorder="1" applyAlignment="1">
      <alignment horizontal="center" vertical="center"/>
    </xf>
    <xf numFmtId="0" fontId="0" fillId="3" borderId="58" xfId="0" quotePrefix="1" applyFill="1" applyBorder="1" applyAlignment="1">
      <alignment horizontal="center" vertical="center"/>
    </xf>
    <xf numFmtId="0" fontId="0" fillId="3" borderId="60" xfId="0" quotePrefix="1" applyFill="1" applyBorder="1" applyAlignment="1">
      <alignment horizontal="center" vertical="center"/>
    </xf>
    <xf numFmtId="1" fontId="0" fillId="2" borderId="50" xfId="1" applyNumberFormat="1" applyFont="1" applyFill="1" applyBorder="1" applyAlignment="1">
      <alignment horizontal="center" vertical="center"/>
    </xf>
    <xf numFmtId="1" fontId="0" fillId="3" borderId="51" xfId="0" quotePrefix="1" applyNumberFormat="1" applyFill="1" applyBorder="1" applyAlignment="1">
      <alignment horizontal="center" vertical="center"/>
    </xf>
    <xf numFmtId="1" fontId="0" fillId="2" borderId="52" xfId="1" applyNumberFormat="1" applyFont="1" applyFill="1" applyBorder="1" applyAlignment="1">
      <alignment horizontal="center" vertical="center"/>
    </xf>
    <xf numFmtId="1" fontId="0" fillId="3" borderId="53" xfId="0" quotePrefix="1" applyNumberFormat="1" applyFill="1" applyBorder="1" applyAlignment="1">
      <alignment horizontal="center" vertical="center"/>
    </xf>
    <xf numFmtId="1" fontId="0" fillId="3" borderId="54" xfId="0" quotePrefix="1" applyNumberFormat="1" applyFill="1" applyBorder="1" applyAlignment="1">
      <alignment horizontal="center" vertical="center"/>
    </xf>
    <xf numFmtId="1" fontId="0" fillId="2" borderId="55" xfId="1" applyNumberFormat="1" applyFont="1" applyFill="1" applyBorder="1" applyAlignment="1">
      <alignment horizontal="center" vertical="center"/>
    </xf>
    <xf numFmtId="1" fontId="0" fillId="3" borderId="56" xfId="0" quotePrefix="1" applyNumberFormat="1" applyFill="1" applyBorder="1" applyAlignment="1">
      <alignment horizontal="center" vertical="center"/>
    </xf>
    <xf numFmtId="1" fontId="0" fillId="3" borderId="57" xfId="0" quotePrefix="1" applyNumberFormat="1" applyFill="1" applyBorder="1" applyAlignment="1">
      <alignment horizontal="center" vertical="center"/>
    </xf>
    <xf numFmtId="1" fontId="0" fillId="5" borderId="51" xfId="0" applyNumberFormat="1" applyFill="1" applyBorder="1" applyAlignment="1">
      <alignment horizontal="center" vertical="center"/>
    </xf>
    <xf numFmtId="1" fontId="0" fillId="3" borderId="50" xfId="0" quotePrefix="1" applyNumberFormat="1" applyFill="1" applyBorder="1" applyAlignment="1">
      <alignment horizontal="center" vertical="center"/>
    </xf>
    <xf numFmtId="1" fontId="0" fillId="5" borderId="53" xfId="0" applyNumberFormat="1" applyFill="1" applyBorder="1" applyAlignment="1">
      <alignment horizontal="center" vertical="center"/>
    </xf>
    <xf numFmtId="1" fontId="0" fillId="3" borderId="52" xfId="0" quotePrefix="1" applyNumberFormat="1" applyFill="1" applyBorder="1" applyAlignment="1">
      <alignment horizontal="center" vertical="center"/>
    </xf>
    <xf numFmtId="1" fontId="0" fillId="5" borderId="59" xfId="0" applyNumberFormat="1" applyFill="1" applyBorder="1" applyAlignment="1">
      <alignment horizontal="center" vertical="center"/>
    </xf>
    <xf numFmtId="1" fontId="0" fillId="3" borderId="58" xfId="0" quotePrefix="1" applyNumberFormat="1" applyFill="1" applyBorder="1" applyAlignment="1">
      <alignment horizontal="center" vertical="center"/>
    </xf>
    <xf numFmtId="0" fontId="0" fillId="0" borderId="61" xfId="0" applyBorder="1" applyAlignment="1">
      <alignment horizontal="center" vertical="center" wrapText="1"/>
    </xf>
    <xf numFmtId="1" fontId="0" fillId="2" borderId="62" xfId="1" applyNumberFormat="1" applyFont="1" applyFill="1" applyBorder="1" applyAlignment="1">
      <alignment horizontal="center" vertical="center"/>
    </xf>
    <xf numFmtId="1" fontId="0" fillId="3" borderId="63" xfId="0" quotePrefix="1" applyNumberFormat="1" applyFill="1" applyBorder="1" applyAlignment="1">
      <alignment horizontal="center" vertical="center"/>
    </xf>
    <xf numFmtId="1" fontId="0" fillId="3" borderId="64" xfId="0" quotePrefix="1" applyNumberFormat="1" applyFill="1" applyBorder="1" applyAlignment="1">
      <alignment horizontal="center" vertical="center"/>
    </xf>
    <xf numFmtId="0" fontId="0" fillId="3" borderId="62" xfId="0" quotePrefix="1" applyFill="1" applyBorder="1" applyAlignment="1">
      <alignment horizontal="center" vertical="center"/>
    </xf>
    <xf numFmtId="1" fontId="0" fillId="5" borderId="63" xfId="0" applyNumberFormat="1" applyFill="1" applyBorder="1" applyAlignment="1">
      <alignment horizontal="center" vertical="center"/>
    </xf>
    <xf numFmtId="1" fontId="0" fillId="3" borderId="62" xfId="0" quotePrefix="1" applyNumberFormat="1" applyFill="1" applyBorder="1" applyAlignment="1">
      <alignment horizontal="center" vertical="center"/>
    </xf>
    <xf numFmtId="0" fontId="0" fillId="3" borderId="63" xfId="0" quotePrefix="1" applyFill="1" applyBorder="1" applyAlignment="1">
      <alignment horizontal="center" vertical="center"/>
    </xf>
    <xf numFmtId="0" fontId="0" fillId="2" borderId="71" xfId="0" applyFill="1" applyBorder="1" applyAlignment="1">
      <alignment horizontal="center"/>
    </xf>
    <xf numFmtId="0" fontId="0" fillId="2" borderId="72" xfId="0" applyFill="1" applyBorder="1" applyAlignment="1">
      <alignment horizontal="center"/>
    </xf>
    <xf numFmtId="3" fontId="0" fillId="2" borderId="73" xfId="0" applyNumberFormat="1" applyFill="1" applyBorder="1" applyAlignment="1">
      <alignment horizontal="center"/>
    </xf>
    <xf numFmtId="0" fontId="0" fillId="2" borderId="74" xfId="0" applyFill="1" applyBorder="1" applyAlignment="1">
      <alignment horizontal="center"/>
    </xf>
    <xf numFmtId="0" fontId="0" fillId="2" borderId="70" xfId="0" applyFill="1" applyBorder="1" applyAlignment="1">
      <alignment horizontal="center"/>
    </xf>
    <xf numFmtId="3" fontId="0" fillId="2" borderId="75" xfId="0" applyNumberFormat="1" applyFill="1" applyBorder="1" applyAlignment="1">
      <alignment horizontal="center"/>
    </xf>
    <xf numFmtId="0" fontId="0" fillId="2" borderId="76" xfId="0" applyFill="1" applyBorder="1" applyAlignment="1">
      <alignment horizontal="center"/>
    </xf>
    <xf numFmtId="0" fontId="0" fillId="2" borderId="77" xfId="0" applyFill="1" applyBorder="1" applyAlignment="1">
      <alignment horizontal="center"/>
    </xf>
    <xf numFmtId="3" fontId="0" fillId="2" borderId="78" xfId="0" applyNumberFormat="1" applyFill="1" applyBorder="1" applyAlignment="1">
      <alignment horizontal="center"/>
    </xf>
    <xf numFmtId="0" fontId="0" fillId="5" borderId="71" xfId="0" applyFill="1" applyBorder="1" applyAlignment="1">
      <alignment horizontal="center"/>
    </xf>
    <xf numFmtId="0" fontId="0" fillId="5" borderId="72" xfId="0" applyFill="1" applyBorder="1" applyAlignment="1">
      <alignment horizontal="center"/>
    </xf>
    <xf numFmtId="3" fontId="0" fillId="5" borderId="73" xfId="0" applyNumberFormat="1" applyFill="1" applyBorder="1" applyAlignment="1">
      <alignment horizontal="center"/>
    </xf>
    <xf numFmtId="0" fontId="0" fillId="5" borderId="74" xfId="0" applyFill="1" applyBorder="1" applyAlignment="1">
      <alignment horizontal="center"/>
    </xf>
    <xf numFmtId="0" fontId="0" fillId="5" borderId="70" xfId="0" applyFill="1" applyBorder="1" applyAlignment="1">
      <alignment horizontal="center"/>
    </xf>
    <xf numFmtId="3" fontId="0" fillId="5" borderId="75" xfId="0" applyNumberFormat="1" applyFill="1" applyBorder="1" applyAlignment="1">
      <alignment horizontal="center"/>
    </xf>
    <xf numFmtId="0" fontId="0" fillId="5" borderId="76" xfId="0" applyFill="1" applyBorder="1" applyAlignment="1">
      <alignment horizontal="center"/>
    </xf>
    <xf numFmtId="0" fontId="0" fillId="5" borderId="77" xfId="0" applyFill="1" applyBorder="1" applyAlignment="1">
      <alignment horizontal="center"/>
    </xf>
    <xf numFmtId="3" fontId="0" fillId="5" borderId="78" xfId="0" applyNumberFormat="1" applyFill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4" borderId="72" xfId="0" applyFill="1" applyBorder="1" applyAlignment="1">
      <alignment horizontal="center"/>
    </xf>
    <xf numFmtId="3" fontId="0" fillId="4" borderId="73" xfId="0" applyNumberFormat="1" applyFill="1" applyBorder="1" applyAlignment="1">
      <alignment horizontal="center"/>
    </xf>
    <xf numFmtId="0" fontId="0" fillId="4" borderId="74" xfId="0" applyFill="1" applyBorder="1" applyAlignment="1">
      <alignment horizontal="center"/>
    </xf>
    <xf numFmtId="0" fontId="0" fillId="4" borderId="70" xfId="0" applyFill="1" applyBorder="1" applyAlignment="1">
      <alignment horizontal="center"/>
    </xf>
    <xf numFmtId="3" fontId="0" fillId="4" borderId="75" xfId="0" applyNumberFormat="1" applyFill="1" applyBorder="1" applyAlignment="1">
      <alignment horizontal="center"/>
    </xf>
    <xf numFmtId="0" fontId="0" fillId="4" borderId="76" xfId="0" applyFill="1" applyBorder="1" applyAlignment="1">
      <alignment horizontal="center"/>
    </xf>
    <xf numFmtId="3" fontId="0" fillId="4" borderId="78" xfId="0" applyNumberFormat="1" applyFill="1" applyBorder="1" applyAlignment="1">
      <alignment horizontal="center"/>
    </xf>
    <xf numFmtId="3" fontId="0" fillId="2" borderId="72" xfId="0" applyNumberFormat="1" applyFill="1" applyBorder="1" applyAlignment="1">
      <alignment horizontal="center"/>
    </xf>
    <xf numFmtId="3" fontId="0" fillId="2" borderId="70" xfId="0" applyNumberFormat="1" applyFill="1" applyBorder="1" applyAlignment="1">
      <alignment horizontal="center"/>
    </xf>
    <xf numFmtId="3" fontId="0" fillId="2" borderId="77" xfId="0" applyNumberFormat="1" applyFill="1" applyBorder="1" applyAlignment="1">
      <alignment horizontal="center"/>
    </xf>
    <xf numFmtId="3" fontId="0" fillId="5" borderId="72" xfId="0" applyNumberFormat="1" applyFill="1" applyBorder="1" applyAlignment="1">
      <alignment horizontal="center"/>
    </xf>
    <xf numFmtId="3" fontId="0" fillId="5" borderId="70" xfId="0" applyNumberFormat="1" applyFill="1" applyBorder="1" applyAlignment="1">
      <alignment horizontal="center"/>
    </xf>
    <xf numFmtId="3" fontId="0" fillId="5" borderId="77" xfId="0" applyNumberFormat="1" applyFill="1" applyBorder="1" applyAlignment="1">
      <alignment horizontal="center"/>
    </xf>
    <xf numFmtId="3" fontId="0" fillId="4" borderId="70" xfId="0" applyNumberFormat="1" applyFill="1" applyBorder="1" applyAlignment="1">
      <alignment horizontal="center"/>
    </xf>
    <xf numFmtId="0" fontId="0" fillId="4" borderId="77" xfId="0" applyFill="1" applyBorder="1" applyAlignment="1">
      <alignment horizontal="center"/>
    </xf>
    <xf numFmtId="3" fontId="0" fillId="4" borderId="77" xfId="0" applyNumberFormat="1" applyFill="1" applyBorder="1" applyAlignment="1">
      <alignment horizontal="center"/>
    </xf>
    <xf numFmtId="0" fontId="0" fillId="3" borderId="0" xfId="0" quotePrefix="1" applyFill="1" applyAlignment="1">
      <alignment horizontal="center" vertical="center"/>
    </xf>
    <xf numFmtId="1" fontId="0" fillId="2" borderId="102" xfId="1" applyNumberFormat="1" applyFont="1" applyFill="1" applyBorder="1" applyAlignment="1">
      <alignment horizontal="center" vertical="center"/>
    </xf>
    <xf numFmtId="1" fontId="0" fillId="2" borderId="103" xfId="1" applyNumberFormat="1" applyFont="1" applyFill="1" applyBorder="1" applyAlignment="1">
      <alignment horizontal="center" vertical="center"/>
    </xf>
    <xf numFmtId="1" fontId="0" fillId="2" borderId="104" xfId="1" applyNumberFormat="1" applyFont="1" applyFill="1" applyBorder="1" applyAlignment="1">
      <alignment horizontal="center" vertical="center"/>
    </xf>
    <xf numFmtId="0" fontId="0" fillId="3" borderId="105" xfId="0" quotePrefix="1" applyFill="1" applyBorder="1" applyAlignment="1">
      <alignment horizontal="center" vertical="center"/>
    </xf>
    <xf numFmtId="0" fontId="0" fillId="3" borderId="107" xfId="0" quotePrefix="1" applyFill="1" applyBorder="1" applyAlignment="1">
      <alignment horizontal="center" vertical="center"/>
    </xf>
    <xf numFmtId="0" fontId="0" fillId="3" borderId="102" xfId="0" quotePrefix="1" applyFill="1" applyBorder="1" applyAlignment="1">
      <alignment horizontal="center" vertical="center"/>
    </xf>
    <xf numFmtId="0" fontId="0" fillId="3" borderId="103" xfId="0" quotePrefix="1" applyFill="1" applyBorder="1" applyAlignment="1">
      <alignment horizontal="center" vertical="center"/>
    </xf>
    <xf numFmtId="0" fontId="0" fillId="3" borderId="108" xfId="0" quotePrefix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11" borderId="0" xfId="0" applyFill="1" applyAlignment="1">
      <alignment horizontal="center"/>
    </xf>
    <xf numFmtId="9" fontId="0" fillId="2" borderId="73" xfId="1" applyFont="1" applyFill="1" applyBorder="1" applyAlignment="1">
      <alignment horizontal="center"/>
    </xf>
    <xf numFmtId="165" fontId="0" fillId="2" borderId="75" xfId="1" applyNumberFormat="1" applyFont="1" applyFill="1" applyBorder="1" applyAlignment="1">
      <alignment horizontal="center"/>
    </xf>
    <xf numFmtId="165" fontId="0" fillId="2" borderId="78" xfId="1" applyNumberFormat="1" applyFont="1" applyFill="1" applyBorder="1" applyAlignment="1">
      <alignment horizontal="center"/>
    </xf>
    <xf numFmtId="165" fontId="0" fillId="5" borderId="73" xfId="1" applyNumberFormat="1" applyFont="1" applyFill="1" applyBorder="1" applyAlignment="1">
      <alignment horizontal="center"/>
    </xf>
    <xf numFmtId="165" fontId="0" fillId="5" borderId="75" xfId="1" applyNumberFormat="1" applyFont="1" applyFill="1" applyBorder="1" applyAlignment="1">
      <alignment horizontal="center"/>
    </xf>
    <xf numFmtId="165" fontId="0" fillId="5" borderId="78" xfId="1" applyNumberFormat="1" applyFont="1" applyFill="1" applyBorder="1" applyAlignment="1">
      <alignment horizontal="center"/>
    </xf>
    <xf numFmtId="0" fontId="0" fillId="4" borderId="125" xfId="0" applyFill="1" applyBorder="1" applyAlignment="1">
      <alignment horizontal="center"/>
    </xf>
    <xf numFmtId="0" fontId="0" fillId="4" borderId="126" xfId="0" applyFill="1" applyBorder="1" applyAlignment="1">
      <alignment horizontal="center"/>
    </xf>
    <xf numFmtId="3" fontId="0" fillId="4" borderId="130" xfId="0" applyNumberFormat="1" applyFill="1" applyBorder="1" applyAlignment="1">
      <alignment horizontal="center"/>
    </xf>
    <xf numFmtId="165" fontId="0" fillId="4" borderId="131" xfId="1" applyNumberFormat="1" applyFont="1" applyFill="1" applyBorder="1" applyAlignment="1">
      <alignment horizontal="center"/>
    </xf>
    <xf numFmtId="165" fontId="0" fillId="4" borderId="75" xfId="1" applyNumberFormat="1" applyFont="1" applyFill="1" applyBorder="1" applyAlignment="1">
      <alignment horizontal="center"/>
    </xf>
    <xf numFmtId="165" fontId="0" fillId="4" borderId="78" xfId="1" applyNumberFormat="1" applyFon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3" fontId="0" fillId="5" borderId="5" xfId="0" applyNumberForma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0" fontId="0" fillId="3" borderId="166" xfId="0" quotePrefix="1" applyFill="1" applyBorder="1" applyAlignment="1">
      <alignment horizontal="center" vertical="center"/>
    </xf>
    <xf numFmtId="0" fontId="0" fillId="3" borderId="167" xfId="0" quotePrefix="1" applyFill="1" applyBorder="1" applyAlignment="1">
      <alignment horizontal="center" vertical="center"/>
    </xf>
    <xf numFmtId="3" fontId="0" fillId="2" borderId="79" xfId="0" applyNumberFormat="1" applyFill="1" applyBorder="1" applyAlignment="1">
      <alignment horizontal="center"/>
    </xf>
    <xf numFmtId="3" fontId="0" fillId="2" borderId="85" xfId="0" applyNumberFormat="1" applyFill="1" applyBorder="1" applyAlignment="1">
      <alignment horizontal="center"/>
    </xf>
    <xf numFmtId="3" fontId="0" fillId="2" borderId="82" xfId="0" applyNumberFormat="1" applyFill="1" applyBorder="1" applyAlignment="1">
      <alignment horizontal="center"/>
    </xf>
    <xf numFmtId="3" fontId="0" fillId="5" borderId="79" xfId="0" applyNumberFormat="1" applyFill="1" applyBorder="1" applyAlignment="1">
      <alignment horizontal="center"/>
    </xf>
    <xf numFmtId="3" fontId="0" fillId="5" borderId="85" xfId="0" applyNumberFormat="1" applyFill="1" applyBorder="1" applyAlignment="1">
      <alignment horizontal="center"/>
    </xf>
    <xf numFmtId="3" fontId="0" fillId="5" borderId="82" xfId="0" applyNumberFormat="1" applyFill="1" applyBorder="1" applyAlignment="1">
      <alignment horizontal="center"/>
    </xf>
    <xf numFmtId="3" fontId="0" fillId="4" borderId="171" xfId="0" applyNumberFormat="1" applyFill="1" applyBorder="1" applyAlignment="1">
      <alignment horizontal="center"/>
    </xf>
    <xf numFmtId="3" fontId="0" fillId="4" borderId="85" xfId="0" applyNumberFormat="1" applyFill="1" applyBorder="1" applyAlignment="1">
      <alignment horizontal="center"/>
    </xf>
    <xf numFmtId="3" fontId="0" fillId="4" borderId="82" xfId="0" applyNumberFormat="1" applyFill="1" applyBorder="1" applyAlignment="1">
      <alignment horizontal="center"/>
    </xf>
    <xf numFmtId="0" fontId="0" fillId="2" borderId="178" xfId="0" applyFill="1" applyBorder="1" applyAlignment="1">
      <alignment horizontal="center" vertical="center"/>
    </xf>
    <xf numFmtId="0" fontId="0" fillId="3" borderId="179" xfId="0" quotePrefix="1" applyFill="1" applyBorder="1" applyAlignment="1">
      <alignment horizontal="center" vertical="center"/>
    </xf>
    <xf numFmtId="0" fontId="0" fillId="3" borderId="180" xfId="0" quotePrefix="1" applyFill="1" applyBorder="1" applyAlignment="1">
      <alignment horizontal="center" vertical="center"/>
    </xf>
    <xf numFmtId="0" fontId="0" fillId="3" borderId="181" xfId="0" quotePrefix="1" applyFill="1" applyBorder="1" applyAlignment="1">
      <alignment horizontal="center" vertical="center"/>
    </xf>
    <xf numFmtId="0" fontId="0" fillId="3" borderId="182" xfId="0" quotePrefix="1" applyFill="1" applyBorder="1" applyAlignment="1">
      <alignment horizontal="center" vertical="center"/>
    </xf>
    <xf numFmtId="0" fontId="0" fillId="3" borderId="183" xfId="0" quotePrefix="1" applyFill="1" applyBorder="1" applyAlignment="1">
      <alignment horizontal="center" vertical="center"/>
    </xf>
    <xf numFmtId="0" fontId="0" fillId="2" borderId="181" xfId="0" applyFill="1" applyBorder="1" applyAlignment="1">
      <alignment horizontal="center" vertical="center"/>
    </xf>
    <xf numFmtId="0" fontId="0" fillId="5" borderId="182" xfId="0" applyFill="1" applyBorder="1" applyAlignment="1">
      <alignment horizontal="center" vertical="center"/>
    </xf>
    <xf numFmtId="164" fontId="0" fillId="3" borderId="183" xfId="0" quotePrefix="1" applyNumberFormat="1" applyFill="1" applyBorder="1" applyAlignment="1">
      <alignment horizontal="center" vertical="center"/>
    </xf>
    <xf numFmtId="0" fontId="0" fillId="3" borderId="184" xfId="0" quotePrefix="1" applyFill="1" applyBorder="1" applyAlignment="1">
      <alignment horizontal="center" vertical="center"/>
    </xf>
    <xf numFmtId="0" fontId="0" fillId="3" borderId="185" xfId="0" quotePrefix="1" applyFill="1" applyBorder="1" applyAlignment="1">
      <alignment horizontal="center" vertical="center"/>
    </xf>
    <xf numFmtId="0" fontId="0" fillId="3" borderId="186" xfId="0" quotePrefix="1" applyFill="1" applyBorder="1" applyAlignment="1">
      <alignment horizontal="center" vertical="center"/>
    </xf>
    <xf numFmtId="0" fontId="0" fillId="3" borderId="178" xfId="0" quotePrefix="1" applyFill="1" applyBorder="1" applyAlignment="1">
      <alignment horizontal="center" vertical="center"/>
    </xf>
    <xf numFmtId="166" fontId="0" fillId="2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88" xfId="0" quotePrefix="1" applyFill="1" applyBorder="1" applyAlignment="1">
      <alignment horizontal="center" vertical="center"/>
    </xf>
    <xf numFmtId="0" fontId="0" fillId="3" borderId="189" xfId="0" quotePrefix="1" applyFill="1" applyBorder="1" applyAlignment="1">
      <alignment horizontal="center" vertical="center"/>
    </xf>
    <xf numFmtId="0" fontId="0" fillId="3" borderId="190" xfId="0" quotePrefix="1" applyFill="1" applyBorder="1" applyAlignment="1">
      <alignment horizontal="center" vertical="center"/>
    </xf>
    <xf numFmtId="0" fontId="0" fillId="2" borderId="184" xfId="0" applyFill="1" applyBorder="1" applyAlignment="1">
      <alignment horizontal="center" vertical="center"/>
    </xf>
    <xf numFmtId="164" fontId="0" fillId="3" borderId="190" xfId="0" quotePrefix="1" applyNumberFormat="1" applyFill="1" applyBorder="1" applyAlignment="1">
      <alignment horizontal="center" vertical="center"/>
    </xf>
    <xf numFmtId="164" fontId="0" fillId="3" borderId="191" xfId="0" quotePrefix="1" applyNumberFormat="1" applyFill="1" applyBorder="1" applyAlignment="1">
      <alignment horizontal="center" vertical="center"/>
    </xf>
    <xf numFmtId="164" fontId="0" fillId="5" borderId="192" xfId="0" applyNumberFormat="1" applyFill="1" applyBorder="1" applyAlignment="1">
      <alignment horizontal="center" vertical="center"/>
    </xf>
    <xf numFmtId="164" fontId="0" fillId="3" borderId="193" xfId="0" quotePrefix="1" applyNumberFormat="1" applyFill="1" applyBorder="1" applyAlignment="1">
      <alignment horizontal="center" vertical="center"/>
    </xf>
    <xf numFmtId="164" fontId="0" fillId="3" borderId="194" xfId="0" quotePrefix="1" applyNumberFormat="1" applyFill="1" applyBorder="1" applyAlignment="1">
      <alignment horizontal="center" vertical="center"/>
    </xf>
    <xf numFmtId="164" fontId="0" fillId="3" borderId="195" xfId="0" quotePrefix="1" applyNumberFormat="1" applyFill="1" applyBorder="1" applyAlignment="1">
      <alignment horizontal="center" vertical="center"/>
    </xf>
    <xf numFmtId="164" fontId="0" fillId="3" borderId="196" xfId="0" quotePrefix="1" applyNumberFormat="1" applyFill="1" applyBorder="1" applyAlignment="1">
      <alignment horizontal="center" vertical="center"/>
    </xf>
    <xf numFmtId="164" fontId="0" fillId="3" borderId="197" xfId="0" quotePrefix="1" applyNumberFormat="1" applyFill="1" applyBorder="1" applyAlignment="1">
      <alignment horizontal="center" vertical="center"/>
    </xf>
    <xf numFmtId="164" fontId="0" fillId="5" borderId="196" xfId="0" applyNumberFormat="1" applyFill="1" applyBorder="1" applyAlignment="1">
      <alignment horizontal="center" vertical="center"/>
    </xf>
    <xf numFmtId="164" fontId="0" fillId="3" borderId="198" xfId="0" quotePrefix="1" applyNumberFormat="1" applyFill="1" applyBorder="1" applyAlignment="1">
      <alignment horizontal="center" vertical="center"/>
    </xf>
    <xf numFmtId="164" fontId="0" fillId="3" borderId="199" xfId="0" quotePrefix="1" applyNumberFormat="1" applyFill="1" applyBorder="1" applyAlignment="1">
      <alignment horizontal="center" vertical="center"/>
    </xf>
    <xf numFmtId="164" fontId="0" fillId="3" borderId="200" xfId="0" quotePrefix="1" applyNumberFormat="1" applyFill="1" applyBorder="1" applyAlignment="1">
      <alignment horizontal="center" vertical="center"/>
    </xf>
    <xf numFmtId="164" fontId="0" fillId="3" borderId="201" xfId="0" quotePrefix="1" applyNumberFormat="1" applyFill="1" applyBorder="1" applyAlignment="1">
      <alignment horizontal="center" vertical="center"/>
    </xf>
    <xf numFmtId="164" fontId="0" fillId="5" borderId="201" xfId="0" applyNumberFormat="1" applyFill="1" applyBorder="1" applyAlignment="1">
      <alignment horizontal="center" vertical="center"/>
    </xf>
    <xf numFmtId="164" fontId="0" fillId="5" borderId="199" xfId="0" applyNumberFormat="1" applyFill="1" applyBorder="1" applyAlignment="1">
      <alignment horizontal="center" vertical="center"/>
    </xf>
    <xf numFmtId="0" fontId="0" fillId="3" borderId="202" xfId="0" quotePrefix="1" applyFill="1" applyBorder="1" applyAlignment="1">
      <alignment horizontal="center" vertical="center"/>
    </xf>
    <xf numFmtId="0" fontId="0" fillId="3" borderId="193" xfId="0" quotePrefix="1" applyFill="1" applyBorder="1" applyAlignment="1">
      <alignment horizontal="center" vertical="center"/>
    </xf>
    <xf numFmtId="0" fontId="0" fillId="3" borderId="194" xfId="0" quotePrefix="1" applyFill="1" applyBorder="1" applyAlignment="1">
      <alignment horizontal="center" vertical="center"/>
    </xf>
    <xf numFmtId="0" fontId="0" fillId="3" borderId="191" xfId="0" quotePrefix="1" applyFill="1" applyBorder="1" applyAlignment="1">
      <alignment horizontal="center" vertical="center"/>
    </xf>
    <xf numFmtId="0" fontId="0" fillId="4" borderId="193" xfId="0" applyFill="1" applyBorder="1" applyAlignment="1">
      <alignment horizontal="center" vertical="center"/>
    </xf>
    <xf numFmtId="0" fontId="0" fillId="3" borderId="203" xfId="0" quotePrefix="1" applyFill="1" applyBorder="1" applyAlignment="1">
      <alignment horizontal="center" vertical="center"/>
    </xf>
    <xf numFmtId="0" fontId="0" fillId="3" borderId="196" xfId="0" quotePrefix="1" applyFill="1" applyBorder="1" applyAlignment="1">
      <alignment horizontal="center" vertical="center"/>
    </xf>
    <xf numFmtId="0" fontId="0" fillId="3" borderId="197" xfId="0" quotePrefix="1" applyFill="1" applyBorder="1" applyAlignment="1">
      <alignment horizontal="center" vertical="center"/>
    </xf>
    <xf numFmtId="0" fontId="0" fillId="3" borderId="195" xfId="0" quotePrefix="1" applyFill="1" applyBorder="1" applyAlignment="1">
      <alignment horizontal="center" vertical="center"/>
    </xf>
    <xf numFmtId="0" fontId="0" fillId="4" borderId="196" xfId="0" applyFill="1" applyBorder="1" applyAlignment="1">
      <alignment horizontal="center" vertical="center"/>
    </xf>
    <xf numFmtId="0" fontId="0" fillId="3" borderId="204" xfId="0" quotePrefix="1" applyFill="1" applyBorder="1" applyAlignment="1">
      <alignment horizontal="center" vertical="center"/>
    </xf>
    <xf numFmtId="0" fontId="0" fillId="3" borderId="199" xfId="0" quotePrefix="1" applyFill="1" applyBorder="1" applyAlignment="1">
      <alignment horizontal="center" vertical="center"/>
    </xf>
    <xf numFmtId="0" fontId="0" fillId="3" borderId="198" xfId="0" quotePrefix="1" applyFill="1" applyBorder="1" applyAlignment="1">
      <alignment horizontal="center" vertical="center"/>
    </xf>
    <xf numFmtId="0" fontId="0" fillId="4" borderId="199" xfId="0" applyFill="1" applyBorder="1" applyAlignment="1">
      <alignment horizontal="center" vertical="center"/>
    </xf>
    <xf numFmtId="0" fontId="0" fillId="12" borderId="182" xfId="0" applyFill="1" applyBorder="1" applyAlignment="1">
      <alignment horizontal="center" vertical="center"/>
    </xf>
    <xf numFmtId="0" fontId="0" fillId="3" borderId="214" xfId="0" quotePrefix="1" applyFill="1" applyBorder="1" applyAlignment="1">
      <alignment horizontal="center" vertical="center"/>
    </xf>
    <xf numFmtId="0" fontId="0" fillId="3" borderId="215" xfId="0" quotePrefix="1" applyFill="1" applyBorder="1" applyAlignment="1">
      <alignment horizontal="center" vertical="center"/>
    </xf>
    <xf numFmtId="0" fontId="0" fillId="3" borderId="216" xfId="0" quotePrefix="1" applyFill="1" applyBorder="1" applyAlignment="1">
      <alignment horizontal="center" vertical="center"/>
    </xf>
    <xf numFmtId="0" fontId="0" fillId="2" borderId="214" xfId="0" applyFill="1" applyBorder="1" applyAlignment="1">
      <alignment horizontal="center" vertical="center"/>
    </xf>
    <xf numFmtId="0" fontId="0" fillId="5" borderId="179" xfId="0" applyFill="1" applyBorder="1" applyAlignment="1">
      <alignment horizontal="center" vertical="center"/>
    </xf>
    <xf numFmtId="0" fontId="0" fillId="5" borderId="185" xfId="0" applyFill="1" applyBorder="1" applyAlignment="1">
      <alignment horizontal="center" vertical="center"/>
    </xf>
    <xf numFmtId="3" fontId="0" fillId="12" borderId="169" xfId="0" applyNumberFormat="1" applyFill="1" applyBorder="1" applyAlignment="1">
      <alignment horizontal="center" vertical="center"/>
    </xf>
    <xf numFmtId="0" fontId="0" fillId="12" borderId="217" xfId="0" applyFill="1" applyBorder="1" applyAlignment="1">
      <alignment horizontal="center" vertical="center"/>
    </xf>
    <xf numFmtId="0" fontId="0" fillId="3" borderId="220" xfId="0" quotePrefix="1" applyFill="1" applyBorder="1" applyAlignment="1">
      <alignment horizontal="center" vertical="center"/>
    </xf>
    <xf numFmtId="0" fontId="0" fillId="12" borderId="71" xfId="0" applyFill="1" applyBorder="1" applyAlignment="1">
      <alignment horizontal="center"/>
    </xf>
    <xf numFmtId="0" fontId="0" fillId="12" borderId="72" xfId="0" applyFill="1" applyBorder="1" applyAlignment="1">
      <alignment horizontal="center"/>
    </xf>
    <xf numFmtId="0" fontId="0" fillId="12" borderId="74" xfId="0" applyFill="1" applyBorder="1" applyAlignment="1">
      <alignment horizontal="center"/>
    </xf>
    <xf numFmtId="0" fontId="0" fillId="12" borderId="70" xfId="0" applyFill="1" applyBorder="1" applyAlignment="1">
      <alignment horizontal="center"/>
    </xf>
    <xf numFmtId="0" fontId="0" fillId="12" borderId="76" xfId="0" applyFill="1" applyBorder="1" applyAlignment="1">
      <alignment horizontal="center"/>
    </xf>
    <xf numFmtId="0" fontId="0" fillId="12" borderId="77" xfId="0" applyFill="1" applyBorder="1" applyAlignment="1">
      <alignment horizontal="center"/>
    </xf>
    <xf numFmtId="2" fontId="0" fillId="2" borderId="229" xfId="0" applyNumberFormat="1" applyFill="1" applyBorder="1" applyAlignment="1">
      <alignment horizontal="center" vertical="center"/>
    </xf>
    <xf numFmtId="2" fontId="0" fillId="3" borderId="230" xfId="0" quotePrefix="1" applyNumberFormat="1" applyFill="1" applyBorder="1" applyAlignment="1">
      <alignment horizontal="center" vertical="center"/>
    </xf>
    <xf numFmtId="2" fontId="0" fillId="3" borderId="231" xfId="0" quotePrefix="1" applyNumberFormat="1" applyFill="1" applyBorder="1" applyAlignment="1">
      <alignment horizontal="center" vertical="center"/>
    </xf>
    <xf numFmtId="2" fontId="0" fillId="4" borderId="53" xfId="0" applyNumberFormat="1" applyFill="1" applyBorder="1" applyAlignment="1">
      <alignment horizontal="center" vertical="center"/>
    </xf>
    <xf numFmtId="2" fontId="0" fillId="5" borderId="70" xfId="0" applyNumberFormat="1" applyFill="1" applyBorder="1" applyAlignment="1">
      <alignment horizontal="center"/>
    </xf>
    <xf numFmtId="165" fontId="0" fillId="12" borderId="75" xfId="1" applyNumberFormat="1" applyFont="1" applyFill="1" applyBorder="1" applyAlignment="1">
      <alignment horizontal="center"/>
    </xf>
    <xf numFmtId="165" fontId="0" fillId="12" borderId="78" xfId="1" applyNumberFormat="1" applyFont="1" applyFill="1" applyBorder="1" applyAlignment="1">
      <alignment horizontal="center"/>
    </xf>
    <xf numFmtId="1" fontId="0" fillId="12" borderId="182" xfId="0" applyNumberFormat="1" applyFill="1" applyBorder="1" applyAlignment="1">
      <alignment horizontal="center" vertical="center"/>
    </xf>
    <xf numFmtId="164" fontId="0" fillId="12" borderId="218" xfId="0" applyNumberFormat="1" applyFill="1" applyBorder="1" applyAlignment="1">
      <alignment horizontal="center" vertical="center"/>
    </xf>
    <xf numFmtId="166" fontId="0" fillId="5" borderId="5" xfId="0" applyNumberFormat="1" applyFill="1" applyBorder="1" applyAlignment="1">
      <alignment horizontal="center" vertical="center"/>
    </xf>
    <xf numFmtId="164" fontId="0" fillId="3" borderId="207" xfId="0" quotePrefix="1" applyNumberFormat="1" applyFill="1" applyBorder="1" applyAlignment="1">
      <alignment horizontal="center" vertical="center"/>
    </xf>
    <xf numFmtId="164" fontId="0" fillId="3" borderId="208" xfId="0" quotePrefix="1" applyNumberFormat="1" applyFill="1" applyBorder="1" applyAlignment="1">
      <alignment horizontal="center" vertical="center"/>
    </xf>
    <xf numFmtId="164" fontId="0" fillId="3" borderId="209" xfId="0" quotePrefix="1" applyNumberFormat="1" applyFill="1" applyBorder="1" applyAlignment="1">
      <alignment horizontal="center" vertical="center"/>
    </xf>
    <xf numFmtId="164" fontId="0" fillId="3" borderId="210" xfId="0" quotePrefix="1" applyNumberFormat="1" applyFill="1" applyBorder="1" applyAlignment="1">
      <alignment horizontal="center" vertical="center"/>
    </xf>
    <xf numFmtId="0" fontId="19" fillId="2" borderId="207" xfId="0" applyFont="1" applyFill="1" applyBorder="1" applyAlignment="1">
      <alignment horizontal="center" vertical="center"/>
    </xf>
    <xf numFmtId="0" fontId="19" fillId="2" borderId="208" xfId="0" applyFont="1" applyFill="1" applyBorder="1" applyAlignment="1">
      <alignment horizontal="center" vertical="center"/>
    </xf>
    <xf numFmtId="0" fontId="0" fillId="2" borderId="207" xfId="0" applyFill="1" applyBorder="1" applyAlignment="1">
      <alignment horizontal="center" vertical="center"/>
    </xf>
    <xf numFmtId="0" fontId="0" fillId="2" borderId="208" xfId="0" applyFill="1" applyBorder="1" applyAlignment="1">
      <alignment horizontal="center" vertical="center"/>
    </xf>
    <xf numFmtId="0" fontId="19" fillId="2" borderId="209" xfId="0" applyFont="1" applyFill="1" applyBorder="1" applyAlignment="1">
      <alignment horizontal="center" vertical="center"/>
    </xf>
    <xf numFmtId="0" fontId="19" fillId="2" borderId="210" xfId="0" applyFont="1" applyFill="1" applyBorder="1" applyAlignment="1">
      <alignment horizontal="center" vertical="center"/>
    </xf>
    <xf numFmtId="0" fontId="0" fillId="2" borderId="209" xfId="0" applyFill="1" applyBorder="1" applyAlignment="1">
      <alignment horizontal="center" vertical="center"/>
    </xf>
    <xf numFmtId="0" fontId="0" fillId="2" borderId="210" xfId="0" applyFill="1" applyBorder="1" applyAlignment="1">
      <alignment horizontal="center" vertical="center"/>
    </xf>
    <xf numFmtId="0" fontId="19" fillId="2" borderId="211" xfId="0" applyFont="1" applyFill="1" applyBorder="1" applyAlignment="1">
      <alignment horizontal="center" vertical="center"/>
    </xf>
    <xf numFmtId="0" fontId="19" fillId="2" borderId="212" xfId="0" applyFont="1" applyFill="1" applyBorder="1" applyAlignment="1">
      <alignment horizontal="center" vertical="center"/>
    </xf>
    <xf numFmtId="0" fontId="0" fillId="2" borderId="211" xfId="0" applyFill="1" applyBorder="1" applyAlignment="1">
      <alignment horizontal="center" vertical="center"/>
    </xf>
    <xf numFmtId="0" fontId="0" fillId="2" borderId="212" xfId="0" applyFill="1" applyBorder="1" applyAlignment="1">
      <alignment horizontal="center" vertical="center"/>
    </xf>
    <xf numFmtId="0" fontId="19" fillId="13" borderId="207" xfId="0" applyFont="1" applyFill="1" applyBorder="1" applyAlignment="1">
      <alignment horizontal="center" vertical="center"/>
    </xf>
    <xf numFmtId="0" fontId="19" fillId="13" borderId="208" xfId="0" applyFont="1" applyFill="1" applyBorder="1" applyAlignment="1">
      <alignment horizontal="center" vertical="center"/>
    </xf>
    <xf numFmtId="0" fontId="0" fillId="13" borderId="208" xfId="0" applyFill="1" applyBorder="1" applyAlignment="1">
      <alignment horizontal="center" vertical="center"/>
    </xf>
    <xf numFmtId="0" fontId="19" fillId="13" borderId="209" xfId="0" applyFont="1" applyFill="1" applyBorder="1" applyAlignment="1">
      <alignment horizontal="center" vertical="center"/>
    </xf>
    <xf numFmtId="0" fontId="19" fillId="13" borderId="210" xfId="0" applyFont="1" applyFill="1" applyBorder="1" applyAlignment="1">
      <alignment horizontal="center" vertical="center"/>
    </xf>
    <xf numFmtId="0" fontId="0" fillId="13" borderId="210" xfId="0" applyFill="1" applyBorder="1" applyAlignment="1">
      <alignment horizontal="center" vertical="center"/>
    </xf>
    <xf numFmtId="0" fontId="19" fillId="13" borderId="211" xfId="0" applyFont="1" applyFill="1" applyBorder="1" applyAlignment="1">
      <alignment horizontal="center" vertical="center"/>
    </xf>
    <xf numFmtId="0" fontId="19" fillId="13" borderId="212" xfId="0" applyFont="1" applyFill="1" applyBorder="1" applyAlignment="1">
      <alignment horizontal="center" vertical="center"/>
    </xf>
    <xf numFmtId="0" fontId="0" fillId="13" borderId="212" xfId="0" applyFill="1" applyBorder="1" applyAlignment="1">
      <alignment horizontal="center" vertical="center"/>
    </xf>
    <xf numFmtId="0" fontId="19" fillId="4" borderId="207" xfId="0" applyFont="1" applyFill="1" applyBorder="1" applyAlignment="1">
      <alignment horizontal="center" vertical="center"/>
    </xf>
    <xf numFmtId="0" fontId="19" fillId="4" borderId="208" xfId="0" applyFont="1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0" fontId="0" fillId="4" borderId="213" xfId="0" applyFill="1" applyBorder="1" applyAlignment="1">
      <alignment horizontal="center" vertical="center"/>
    </xf>
    <xf numFmtId="0" fontId="19" fillId="4" borderId="209" xfId="0" applyFont="1" applyFill="1" applyBorder="1" applyAlignment="1">
      <alignment horizontal="center" vertical="center"/>
    </xf>
    <xf numFmtId="0" fontId="19" fillId="4" borderId="210" xfId="0" applyFont="1" applyFill="1" applyBorder="1" applyAlignment="1">
      <alignment horizontal="center" vertical="center"/>
    </xf>
    <xf numFmtId="0" fontId="0" fillId="4" borderId="177" xfId="0" applyFill="1" applyBorder="1" applyAlignment="1">
      <alignment horizontal="center" vertical="center"/>
    </xf>
    <xf numFmtId="0" fontId="19" fillId="4" borderId="211" xfId="0" applyFont="1" applyFill="1" applyBorder="1" applyAlignment="1">
      <alignment horizontal="center" vertical="center"/>
    </xf>
    <xf numFmtId="0" fontId="19" fillId="4" borderId="212" xfId="0" applyFont="1" applyFill="1" applyBorder="1" applyAlignment="1">
      <alignment horizontal="center" vertical="center"/>
    </xf>
    <xf numFmtId="0" fontId="0" fillId="4" borderId="205" xfId="0" applyFill="1" applyBorder="1" applyAlignment="1">
      <alignment horizontal="center" vertical="center"/>
    </xf>
    <xf numFmtId="0" fontId="0" fillId="4" borderId="206" xfId="0" applyFill="1" applyBorder="1" applyAlignment="1">
      <alignment horizontal="center" vertical="center"/>
    </xf>
    <xf numFmtId="0" fontId="19" fillId="12" borderId="207" xfId="0" applyFont="1" applyFill="1" applyBorder="1" applyAlignment="1">
      <alignment horizontal="center" vertical="center"/>
    </xf>
    <xf numFmtId="0" fontId="19" fillId="12" borderId="208" xfId="0" applyFont="1" applyFill="1" applyBorder="1" applyAlignment="1">
      <alignment horizontal="center" vertical="center"/>
    </xf>
    <xf numFmtId="0" fontId="0" fillId="12" borderId="207" xfId="0" applyFill="1" applyBorder="1" applyAlignment="1">
      <alignment horizontal="center" vertical="center"/>
    </xf>
    <xf numFmtId="0" fontId="19" fillId="12" borderId="209" xfId="0" applyFont="1" applyFill="1" applyBorder="1" applyAlignment="1">
      <alignment horizontal="center" vertical="center"/>
    </xf>
    <xf numFmtId="0" fontId="19" fillId="12" borderId="210" xfId="0" applyFont="1" applyFill="1" applyBorder="1" applyAlignment="1">
      <alignment horizontal="center" vertical="center"/>
    </xf>
    <xf numFmtId="0" fontId="0" fillId="12" borderId="209" xfId="0" applyFill="1" applyBorder="1" applyAlignment="1">
      <alignment horizontal="center" vertical="center"/>
    </xf>
    <xf numFmtId="0" fontId="19" fillId="12" borderId="211" xfId="0" applyFont="1" applyFill="1" applyBorder="1" applyAlignment="1">
      <alignment horizontal="center" vertical="center"/>
    </xf>
    <xf numFmtId="0" fontId="19" fillId="12" borderId="212" xfId="0" applyFont="1" applyFill="1" applyBorder="1" applyAlignment="1">
      <alignment horizontal="center" vertical="center"/>
    </xf>
    <xf numFmtId="0" fontId="0" fillId="12" borderId="211" xfId="0" applyFill="1" applyBorder="1" applyAlignment="1">
      <alignment horizontal="center" vertical="center"/>
    </xf>
    <xf numFmtId="2" fontId="0" fillId="3" borderId="228" xfId="0" quotePrefix="1" applyNumberFormat="1" applyFill="1" applyBorder="1" applyAlignment="1">
      <alignment horizontal="center" vertical="center"/>
    </xf>
    <xf numFmtId="2" fontId="0" fillId="5" borderId="53" xfId="0" applyNumberFormat="1" applyFill="1" applyBorder="1" applyAlignment="1">
      <alignment horizontal="center" vertical="center"/>
    </xf>
    <xf numFmtId="2" fontId="0" fillId="3" borderId="53" xfId="0" quotePrefix="1" applyNumberFormat="1" applyFill="1" applyBorder="1" applyAlignment="1">
      <alignment horizontal="center" vertical="center"/>
    </xf>
    <xf numFmtId="2" fontId="0" fillId="3" borderId="232" xfId="0" quotePrefix="1" applyNumberFormat="1" applyFill="1" applyBorder="1" applyAlignment="1">
      <alignment horizontal="center" vertical="center"/>
    </xf>
    <xf numFmtId="2" fontId="0" fillId="3" borderId="233" xfId="0" quotePrefix="1" applyNumberFormat="1" applyFill="1" applyBorder="1" applyAlignment="1">
      <alignment horizontal="center" vertical="center"/>
    </xf>
    <xf numFmtId="2" fontId="0" fillId="3" borderId="234" xfId="0" quotePrefix="1" applyNumberFormat="1" applyFill="1" applyBorder="1" applyAlignment="1">
      <alignment horizontal="center" vertical="center"/>
    </xf>
    <xf numFmtId="2" fontId="0" fillId="12" borderId="235" xfId="0" applyNumberFormat="1" applyFill="1" applyBorder="1" applyAlignment="1">
      <alignment horizontal="center" vertical="center"/>
    </xf>
    <xf numFmtId="166" fontId="0" fillId="4" borderId="5" xfId="0" applyNumberFormat="1" applyFill="1" applyBorder="1" applyAlignment="1">
      <alignment horizontal="center" vertical="center"/>
    </xf>
    <xf numFmtId="166" fontId="0" fillId="12" borderId="169" xfId="0" applyNumberFormat="1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12" borderId="218" xfId="0" applyNumberFormat="1" applyFill="1" applyBorder="1" applyAlignment="1">
      <alignment horizontal="center" vertical="center"/>
    </xf>
    <xf numFmtId="1" fontId="0" fillId="4" borderId="187" xfId="0" applyNumberFormat="1" applyFill="1" applyBorder="1" applyAlignment="1">
      <alignment horizontal="center" vertical="center"/>
    </xf>
    <xf numFmtId="1" fontId="0" fillId="12" borderId="219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" fontId="0" fillId="12" borderId="169" xfId="0" applyNumberFormat="1" applyFill="1" applyBorder="1" applyAlignment="1">
      <alignment horizontal="center" vertical="center"/>
    </xf>
    <xf numFmtId="1" fontId="0" fillId="4" borderId="24" xfId="0" applyNumberFormat="1" applyFill="1" applyBorder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164" fontId="0" fillId="3" borderId="211" xfId="0" quotePrefix="1" applyNumberFormat="1" applyFill="1" applyBorder="1" applyAlignment="1">
      <alignment horizontal="center" vertical="center"/>
    </xf>
    <xf numFmtId="164" fontId="0" fillId="3" borderId="212" xfId="0" quotePrefix="1" applyNumberFormat="1" applyFill="1" applyBorder="1" applyAlignment="1">
      <alignment horizontal="center" vertical="center"/>
    </xf>
    <xf numFmtId="0" fontId="0" fillId="2" borderId="106" xfId="0" applyFill="1" applyBorder="1" applyAlignment="1">
      <alignment horizontal="center"/>
    </xf>
    <xf numFmtId="0" fontId="0" fillId="2" borderId="114" xfId="0" applyFill="1" applyBorder="1" applyAlignment="1">
      <alignment horizontal="center"/>
    </xf>
    <xf numFmtId="0" fontId="0" fillId="2" borderId="115" xfId="0" applyFill="1" applyBorder="1" applyAlignment="1">
      <alignment horizontal="center"/>
    </xf>
    <xf numFmtId="0" fontId="0" fillId="2" borderId="114" xfId="0" applyFill="1" applyBorder="1" applyAlignment="1">
      <alignment horizontal="center" vertical="center"/>
    </xf>
    <xf numFmtId="0" fontId="0" fillId="2" borderId="115" xfId="0" applyFill="1" applyBorder="1" applyAlignment="1">
      <alignment horizontal="center" vertical="center"/>
    </xf>
    <xf numFmtId="0" fontId="0" fillId="2" borderId="94" xfId="0" applyFill="1" applyBorder="1" applyAlignment="1">
      <alignment horizontal="center"/>
    </xf>
    <xf numFmtId="0" fontId="0" fillId="2" borderId="98" xfId="0" applyFill="1" applyBorder="1" applyAlignment="1">
      <alignment horizontal="center"/>
    </xf>
    <xf numFmtId="0" fontId="0" fillId="2" borderId="99" xfId="0" applyFill="1" applyBorder="1" applyAlignment="1">
      <alignment horizontal="center"/>
    </xf>
    <xf numFmtId="0" fontId="0" fillId="2" borderId="95" xfId="0" applyFill="1" applyBorder="1" applyAlignment="1">
      <alignment horizontal="center"/>
    </xf>
    <xf numFmtId="0" fontId="0" fillId="2" borderId="100" xfId="0" applyFill="1" applyBorder="1" applyAlignment="1">
      <alignment horizontal="center"/>
    </xf>
    <xf numFmtId="0" fontId="0" fillId="2" borderId="101" xfId="0" applyFill="1" applyBorder="1" applyAlignment="1">
      <alignment horizontal="center"/>
    </xf>
    <xf numFmtId="0" fontId="0" fillId="2" borderId="93" xfId="0" applyFill="1" applyBorder="1" applyAlignment="1">
      <alignment horizontal="center"/>
    </xf>
    <xf numFmtId="0" fontId="0" fillId="2" borderId="96" xfId="0" applyFill="1" applyBorder="1" applyAlignment="1">
      <alignment horizontal="center"/>
    </xf>
    <xf numFmtId="0" fontId="0" fillId="2" borderId="97" xfId="0" applyFill="1" applyBorder="1" applyAlignment="1">
      <alignment horizontal="center"/>
    </xf>
    <xf numFmtId="0" fontId="0" fillId="4" borderId="93" xfId="0" applyFill="1" applyBorder="1" applyAlignment="1">
      <alignment horizontal="center" vertical="center"/>
    </xf>
    <xf numFmtId="0" fontId="0" fillId="4" borderId="96" xfId="0" applyFill="1" applyBorder="1" applyAlignment="1">
      <alignment horizontal="center" vertical="center"/>
    </xf>
    <xf numFmtId="0" fontId="0" fillId="4" borderId="97" xfId="0" applyFill="1" applyBorder="1" applyAlignment="1">
      <alignment horizontal="center" vertical="center"/>
    </xf>
    <xf numFmtId="0" fontId="0" fillId="4" borderId="96" xfId="0" applyFill="1" applyBorder="1" applyAlignment="1">
      <alignment horizontal="center"/>
    </xf>
    <xf numFmtId="0" fontId="0" fillId="4" borderId="97" xfId="0" applyFill="1" applyBorder="1" applyAlignment="1">
      <alignment horizontal="center"/>
    </xf>
    <xf numFmtId="0" fontId="0" fillId="4" borderId="106" xfId="0" applyFill="1" applyBorder="1" applyAlignment="1">
      <alignment horizontal="center" vertical="center"/>
    </xf>
    <xf numFmtId="0" fontId="0" fillId="4" borderId="98" xfId="0" applyFill="1" applyBorder="1" applyAlignment="1">
      <alignment horizontal="center" vertical="center"/>
    </xf>
    <xf numFmtId="0" fontId="0" fillId="4" borderId="99" xfId="0" applyFill="1" applyBorder="1" applyAlignment="1">
      <alignment horizontal="center" vertical="center"/>
    </xf>
    <xf numFmtId="0" fontId="0" fillId="4" borderId="94" xfId="0" applyFill="1" applyBorder="1" applyAlignment="1">
      <alignment horizontal="center" vertical="center"/>
    </xf>
    <xf numFmtId="0" fontId="0" fillId="4" borderId="95" xfId="0" applyFill="1" applyBorder="1" applyAlignment="1">
      <alignment horizontal="center" vertical="center"/>
    </xf>
    <xf numFmtId="0" fontId="0" fillId="4" borderId="100" xfId="0" applyFill="1" applyBorder="1" applyAlignment="1">
      <alignment horizontal="center" vertical="center"/>
    </xf>
    <xf numFmtId="0" fontId="0" fillId="4" borderId="101" xfId="0" applyFill="1" applyBorder="1" applyAlignment="1">
      <alignment horizontal="center" vertical="center"/>
    </xf>
    <xf numFmtId="0" fontId="0" fillId="12" borderId="93" xfId="0" applyFill="1" applyBorder="1" applyAlignment="1">
      <alignment horizontal="center" vertical="center"/>
    </xf>
    <xf numFmtId="0" fontId="0" fillId="12" borderId="96" xfId="0" applyFill="1" applyBorder="1" applyAlignment="1">
      <alignment horizontal="center" vertical="center"/>
    </xf>
    <xf numFmtId="0" fontId="0" fillId="12" borderId="97" xfId="0" applyFill="1" applyBorder="1" applyAlignment="1">
      <alignment horizontal="center" vertical="center"/>
    </xf>
    <xf numFmtId="0" fontId="0" fillId="12" borderId="96" xfId="0" applyFill="1" applyBorder="1" applyAlignment="1">
      <alignment horizontal="center"/>
    </xf>
    <xf numFmtId="0" fontId="0" fillId="12" borderId="97" xfId="0" applyFill="1" applyBorder="1" applyAlignment="1">
      <alignment horizontal="center"/>
    </xf>
    <xf numFmtId="0" fontId="0" fillId="12" borderId="106" xfId="0" applyFill="1" applyBorder="1" applyAlignment="1">
      <alignment horizontal="center" vertical="center"/>
    </xf>
    <xf numFmtId="0" fontId="0" fillId="12" borderId="98" xfId="0" applyFill="1" applyBorder="1" applyAlignment="1">
      <alignment horizontal="center" vertical="center"/>
    </xf>
    <xf numFmtId="0" fontId="0" fillId="12" borderId="99" xfId="0" applyFill="1" applyBorder="1" applyAlignment="1">
      <alignment horizontal="center" vertical="center"/>
    </xf>
    <xf numFmtId="0" fontId="0" fillId="12" borderId="94" xfId="0" applyFill="1" applyBorder="1" applyAlignment="1">
      <alignment horizontal="center" vertical="center"/>
    </xf>
    <xf numFmtId="0" fontId="0" fillId="12" borderId="95" xfId="0" applyFill="1" applyBorder="1" applyAlignment="1">
      <alignment horizontal="center" vertical="center"/>
    </xf>
    <xf numFmtId="0" fontId="0" fillId="12" borderId="100" xfId="0" applyFill="1" applyBorder="1" applyAlignment="1">
      <alignment horizontal="center" vertical="center"/>
    </xf>
    <xf numFmtId="0" fontId="0" fillId="12" borderId="101" xfId="0" applyFill="1" applyBorder="1" applyAlignment="1">
      <alignment horizontal="center" vertical="center"/>
    </xf>
    <xf numFmtId="10" fontId="0" fillId="2" borderId="229" xfId="1" applyNumberFormat="1" applyFont="1" applyFill="1" applyBorder="1" applyAlignment="1">
      <alignment horizontal="center" vertical="center"/>
    </xf>
    <xf numFmtId="10" fontId="0" fillId="3" borderId="230" xfId="1" quotePrefix="1" applyNumberFormat="1" applyFont="1" applyFill="1" applyBorder="1" applyAlignment="1">
      <alignment horizontal="center" vertical="center"/>
    </xf>
    <xf numFmtId="10" fontId="0" fillId="3" borderId="231" xfId="1" quotePrefix="1" applyNumberFormat="1" applyFont="1" applyFill="1" applyBorder="1" applyAlignment="1">
      <alignment horizontal="center" vertical="center"/>
    </xf>
    <xf numFmtId="10" fontId="0" fillId="3" borderId="228" xfId="1" quotePrefix="1" applyNumberFormat="1" applyFont="1" applyFill="1" applyBorder="1" applyAlignment="1">
      <alignment horizontal="center" vertical="center"/>
    </xf>
    <xf numFmtId="10" fontId="0" fillId="5" borderId="53" xfId="1" applyNumberFormat="1" applyFont="1" applyFill="1" applyBorder="1" applyAlignment="1">
      <alignment horizontal="center" vertical="center"/>
    </xf>
    <xf numFmtId="10" fontId="0" fillId="3" borderId="53" xfId="1" quotePrefix="1" applyNumberFormat="1" applyFont="1" applyFill="1" applyBorder="1" applyAlignment="1">
      <alignment horizontal="center" vertical="center"/>
    </xf>
    <xf numFmtId="10" fontId="0" fillId="3" borderId="232" xfId="1" quotePrefix="1" applyNumberFormat="1" applyFont="1" applyFill="1" applyBorder="1" applyAlignment="1">
      <alignment horizontal="center" vertical="center"/>
    </xf>
    <xf numFmtId="10" fontId="0" fillId="4" borderId="53" xfId="1" applyNumberFormat="1" applyFont="1" applyFill="1" applyBorder="1" applyAlignment="1">
      <alignment horizontal="center" vertical="center"/>
    </xf>
    <xf numFmtId="10" fontId="0" fillId="3" borderId="233" xfId="1" quotePrefix="1" applyNumberFormat="1" applyFont="1" applyFill="1" applyBorder="1" applyAlignment="1">
      <alignment horizontal="center" vertical="center"/>
    </xf>
    <xf numFmtId="10" fontId="0" fillId="3" borderId="234" xfId="1" quotePrefix="1" applyNumberFormat="1" applyFont="1" applyFill="1" applyBorder="1" applyAlignment="1">
      <alignment horizontal="center" vertical="center"/>
    </xf>
    <xf numFmtId="10" fontId="0" fillId="12" borderId="235" xfId="1" applyNumberFormat="1" applyFont="1" applyFill="1" applyBorder="1" applyAlignment="1">
      <alignment horizontal="center" vertical="center"/>
    </xf>
    <xf numFmtId="1" fontId="0" fillId="5" borderId="252" xfId="0" applyNumberFormat="1" applyFill="1" applyBorder="1" applyAlignment="1">
      <alignment horizontal="center" vertical="center"/>
    </xf>
    <xf numFmtId="1" fontId="0" fillId="3" borderId="252" xfId="0" quotePrefix="1" applyNumberFormat="1" applyFill="1" applyBorder="1" applyAlignment="1">
      <alignment horizontal="center" vertical="center"/>
    </xf>
    <xf numFmtId="1" fontId="0" fillId="4" borderId="252" xfId="0" applyNumberFormat="1" applyFill="1" applyBorder="1" applyAlignment="1">
      <alignment horizontal="center" vertical="center"/>
    </xf>
    <xf numFmtId="1" fontId="0" fillId="2" borderId="253" xfId="1" applyNumberFormat="1" applyFont="1" applyFill="1" applyBorder="1" applyAlignment="1">
      <alignment horizontal="center" vertical="center"/>
    </xf>
    <xf numFmtId="1" fontId="0" fillId="3" borderId="254" xfId="0" quotePrefix="1" applyNumberFormat="1" applyFill="1" applyBorder="1" applyAlignment="1">
      <alignment horizontal="center" vertical="center"/>
    </xf>
    <xf numFmtId="1" fontId="0" fillId="3" borderId="255" xfId="0" quotePrefix="1" applyNumberFormat="1" applyFill="1" applyBorder="1" applyAlignment="1">
      <alignment horizontal="center" vertical="center"/>
    </xf>
    <xf numFmtId="1" fontId="0" fillId="3" borderId="256" xfId="0" quotePrefix="1" applyNumberFormat="1" applyFill="1" applyBorder="1" applyAlignment="1">
      <alignment horizontal="center" vertical="center"/>
    </xf>
    <xf numFmtId="1" fontId="0" fillId="3" borderId="257" xfId="0" quotePrefix="1" applyNumberFormat="1" applyFill="1" applyBorder="1" applyAlignment="1">
      <alignment horizontal="center" vertical="center"/>
    </xf>
    <xf numFmtId="1" fontId="0" fillId="3" borderId="258" xfId="0" quotePrefix="1" applyNumberFormat="1" applyFill="1" applyBorder="1" applyAlignment="1">
      <alignment horizontal="center" vertical="center"/>
    </xf>
    <xf numFmtId="1" fontId="0" fillId="3" borderId="259" xfId="0" quotePrefix="1" applyNumberFormat="1" applyFill="1" applyBorder="1" applyAlignment="1">
      <alignment horizontal="center" vertical="center"/>
    </xf>
    <xf numFmtId="1" fontId="0" fillId="3" borderId="261" xfId="0" quotePrefix="1" applyNumberFormat="1" applyFill="1" applyBorder="1" applyAlignment="1">
      <alignment horizontal="center" vertical="center"/>
    </xf>
    <xf numFmtId="1" fontId="0" fillId="5" borderId="262" xfId="0" applyNumberFormat="1" applyFill="1" applyBorder="1" applyAlignment="1">
      <alignment horizontal="center" vertical="center"/>
    </xf>
    <xf numFmtId="1" fontId="0" fillId="3" borderId="262" xfId="0" quotePrefix="1" applyNumberFormat="1" applyFill="1" applyBorder="1" applyAlignment="1">
      <alignment horizontal="center" vertical="center"/>
    </xf>
    <xf numFmtId="1" fontId="0" fillId="3" borderId="263" xfId="0" quotePrefix="1" applyNumberFormat="1" applyFill="1" applyBorder="1" applyAlignment="1">
      <alignment horizontal="center" vertical="center"/>
    </xf>
    <xf numFmtId="1" fontId="0" fillId="3" borderId="264" xfId="0" quotePrefix="1" applyNumberFormat="1" applyFill="1" applyBorder="1" applyAlignment="1">
      <alignment horizontal="center" vertical="center"/>
    </xf>
    <xf numFmtId="1" fontId="0" fillId="3" borderId="265" xfId="0" quotePrefix="1" applyNumberFormat="1" applyFill="1" applyBorder="1" applyAlignment="1">
      <alignment horizontal="center" vertical="center"/>
    </xf>
    <xf numFmtId="1" fontId="0" fillId="4" borderId="265" xfId="0" applyNumberFormat="1" applyFill="1" applyBorder="1" applyAlignment="1">
      <alignment horizontal="center" vertical="center"/>
    </xf>
    <xf numFmtId="1" fontId="0" fillId="3" borderId="266" xfId="0" quotePrefix="1" applyNumberFormat="1" applyFill="1" applyBorder="1" applyAlignment="1">
      <alignment horizontal="center" vertical="center"/>
    </xf>
    <xf numFmtId="1" fontId="0" fillId="3" borderId="267" xfId="0" quotePrefix="1" applyNumberFormat="1" applyFill="1" applyBorder="1" applyAlignment="1">
      <alignment horizontal="center" vertical="center"/>
    </xf>
    <xf numFmtId="1" fontId="0" fillId="3" borderId="268" xfId="0" quotePrefix="1" applyNumberFormat="1" applyFill="1" applyBorder="1" applyAlignment="1">
      <alignment horizontal="center" vertical="center"/>
    </xf>
    <xf numFmtId="1" fontId="0" fillId="4" borderId="268" xfId="0" applyNumberFormat="1" applyFill="1" applyBorder="1" applyAlignment="1">
      <alignment horizontal="center" vertical="center"/>
    </xf>
    <xf numFmtId="1" fontId="0" fillId="3" borderId="269" xfId="0" quotePrefix="1" applyNumberFormat="1" applyFill="1" applyBorder="1" applyAlignment="1">
      <alignment horizontal="center" vertical="center"/>
    </xf>
    <xf numFmtId="1" fontId="0" fillId="3" borderId="270" xfId="0" quotePrefix="1" applyNumberFormat="1" applyFill="1" applyBorder="1" applyAlignment="1">
      <alignment horizontal="center" vertical="center"/>
    </xf>
    <xf numFmtId="1" fontId="0" fillId="3" borderId="271" xfId="0" quotePrefix="1" applyNumberFormat="1" applyFill="1" applyBorder="1" applyAlignment="1">
      <alignment horizontal="center" vertical="center"/>
    </xf>
    <xf numFmtId="1" fontId="0" fillId="3" borderId="272" xfId="0" quotePrefix="1" applyNumberFormat="1" applyFill="1" applyBorder="1" applyAlignment="1">
      <alignment horizontal="center" vertical="center"/>
    </xf>
    <xf numFmtId="1" fontId="0" fillId="4" borderId="272" xfId="0" applyNumberFormat="1" applyFill="1" applyBorder="1" applyAlignment="1">
      <alignment horizontal="center" vertical="center"/>
    </xf>
    <xf numFmtId="1" fontId="0" fillId="3" borderId="273" xfId="0" quotePrefix="1" applyNumberFormat="1" applyFill="1" applyBorder="1" applyAlignment="1">
      <alignment horizontal="center" vertical="center"/>
    </xf>
    <xf numFmtId="1" fontId="0" fillId="3" borderId="274" xfId="0" quotePrefix="1" applyNumberFormat="1" applyFill="1" applyBorder="1" applyAlignment="1">
      <alignment horizontal="center" vertical="center"/>
    </xf>
    <xf numFmtId="1" fontId="0" fillId="4" borderId="274" xfId="0" applyNumberFormat="1" applyFill="1" applyBorder="1" applyAlignment="1">
      <alignment horizontal="center" vertical="center"/>
    </xf>
    <xf numFmtId="1" fontId="0" fillId="3" borderId="275" xfId="0" quotePrefix="1" applyNumberFormat="1" applyFill="1" applyBorder="1" applyAlignment="1">
      <alignment horizontal="center" vertical="center"/>
    </xf>
    <xf numFmtId="0" fontId="0" fillId="12" borderId="276" xfId="0" applyFill="1" applyBorder="1" applyAlignment="1">
      <alignment horizontal="center" vertical="center"/>
    </xf>
    <xf numFmtId="0" fontId="0" fillId="12" borderId="277" xfId="0" applyFill="1" applyBorder="1" applyAlignment="1">
      <alignment horizontal="center" vertical="center"/>
    </xf>
    <xf numFmtId="0" fontId="0" fillId="12" borderId="278" xfId="0" applyFill="1" applyBorder="1" applyAlignment="1">
      <alignment horizontal="center" vertical="center"/>
    </xf>
    <xf numFmtId="1" fontId="0" fillId="3" borderId="280" xfId="0" quotePrefix="1" applyNumberFormat="1" applyFill="1" applyBorder="1" applyAlignment="1">
      <alignment horizontal="center" vertical="center"/>
    </xf>
    <xf numFmtId="1" fontId="0" fillId="3" borderId="281" xfId="0" quotePrefix="1" applyNumberFormat="1" applyFill="1" applyBorder="1" applyAlignment="1">
      <alignment horizontal="center" vertical="center"/>
    </xf>
    <xf numFmtId="1" fontId="0" fillId="3" borderId="282" xfId="0" quotePrefix="1" applyNumberFormat="1" applyFill="1" applyBorder="1" applyAlignment="1">
      <alignment horizontal="center" vertical="center"/>
    </xf>
    <xf numFmtId="1" fontId="0" fillId="3" borderId="283" xfId="0" quotePrefix="1" applyNumberFormat="1" applyFill="1" applyBorder="1" applyAlignment="1">
      <alignment horizontal="center" vertical="center"/>
    </xf>
    <xf numFmtId="1" fontId="0" fillId="3" borderId="284" xfId="0" quotePrefix="1" applyNumberFormat="1" applyFill="1" applyBorder="1" applyAlignment="1">
      <alignment horizontal="center" vertical="center"/>
    </xf>
    <xf numFmtId="1" fontId="0" fillId="3" borderId="285" xfId="0" quotePrefix="1" applyNumberFormat="1" applyFill="1" applyBorder="1" applyAlignment="1">
      <alignment horizontal="center" vertical="center"/>
    </xf>
    <xf numFmtId="1" fontId="0" fillId="3" borderId="286" xfId="0" quotePrefix="1" applyNumberFormat="1" applyFill="1" applyBorder="1" applyAlignment="1">
      <alignment horizontal="center" vertical="center"/>
    </xf>
    <xf numFmtId="1" fontId="0" fillId="3" borderId="287" xfId="0" quotePrefix="1" applyNumberFormat="1" applyFill="1" applyBorder="1" applyAlignment="1">
      <alignment horizontal="center" vertical="center"/>
    </xf>
    <xf numFmtId="1" fontId="0" fillId="3" borderId="288" xfId="0" quotePrefix="1" applyNumberFormat="1" applyFill="1" applyBorder="1" applyAlignment="1">
      <alignment horizontal="center" vertical="center"/>
    </xf>
    <xf numFmtId="0" fontId="0" fillId="3" borderId="280" xfId="0" quotePrefix="1" applyFill="1" applyBorder="1" applyAlignment="1">
      <alignment horizontal="center" vertical="center"/>
    </xf>
    <xf numFmtId="0" fontId="0" fillId="3" borderId="281" xfId="0" quotePrefix="1" applyFill="1" applyBorder="1" applyAlignment="1">
      <alignment horizontal="center" vertical="center"/>
    </xf>
    <xf numFmtId="0" fontId="0" fillId="3" borderId="282" xfId="0" quotePrefix="1" applyFill="1" applyBorder="1" applyAlignment="1">
      <alignment horizontal="center" vertical="center"/>
    </xf>
    <xf numFmtId="0" fontId="0" fillId="3" borderId="283" xfId="0" quotePrefix="1" applyFill="1" applyBorder="1" applyAlignment="1">
      <alignment horizontal="center" vertical="center"/>
    </xf>
    <xf numFmtId="0" fontId="0" fillId="3" borderId="285" xfId="0" quotePrefix="1" applyFill="1" applyBorder="1" applyAlignment="1">
      <alignment horizontal="center" vertical="center"/>
    </xf>
    <xf numFmtId="0" fontId="0" fillId="3" borderId="284" xfId="0" quotePrefix="1" applyFill="1" applyBorder="1" applyAlignment="1">
      <alignment horizontal="center" vertical="center"/>
    </xf>
    <xf numFmtId="0" fontId="0" fillId="3" borderId="289" xfId="0" quotePrefix="1" applyFill="1" applyBorder="1" applyAlignment="1">
      <alignment horizontal="center" vertical="center"/>
    </xf>
    <xf numFmtId="0" fontId="0" fillId="3" borderId="290" xfId="0" quotePrefix="1" applyFill="1" applyBorder="1" applyAlignment="1">
      <alignment horizontal="center" vertical="center"/>
    </xf>
    <xf numFmtId="1" fontId="0" fillId="3" borderId="290" xfId="0" quotePrefix="1" applyNumberFormat="1" applyFill="1" applyBorder="1" applyAlignment="1">
      <alignment horizontal="center" vertical="center"/>
    </xf>
    <xf numFmtId="1" fontId="0" fillId="12" borderId="291" xfId="0" applyNumberFormat="1" applyFill="1" applyBorder="1" applyAlignment="1">
      <alignment horizontal="center" vertical="center"/>
    </xf>
    <xf numFmtId="1" fontId="0" fillId="12" borderId="292" xfId="0" applyNumberFormat="1" applyFill="1" applyBorder="1" applyAlignment="1">
      <alignment horizontal="center" vertical="center"/>
    </xf>
    <xf numFmtId="1" fontId="0" fillId="12" borderId="293" xfId="0" applyNumberFormat="1" applyFill="1" applyBorder="1" applyAlignment="1">
      <alignment horizontal="center" vertical="center"/>
    </xf>
    <xf numFmtId="1" fontId="0" fillId="12" borderId="294" xfId="0" applyNumberFormat="1" applyFill="1" applyBorder="1" applyAlignment="1">
      <alignment horizontal="center" vertical="center"/>
    </xf>
    <xf numFmtId="1" fontId="0" fillId="3" borderId="292" xfId="0" quotePrefix="1" applyNumberFormat="1" applyFill="1" applyBorder="1" applyAlignment="1">
      <alignment horizontal="center" vertical="center"/>
    </xf>
    <xf numFmtId="1" fontId="0" fillId="3" borderId="293" xfId="0" quotePrefix="1" applyNumberFormat="1" applyFill="1" applyBorder="1" applyAlignment="1">
      <alignment horizontal="center" vertical="center"/>
    </xf>
    <xf numFmtId="1" fontId="0" fillId="12" borderId="295" xfId="0" applyNumberFormat="1" applyFill="1" applyBorder="1" applyAlignment="1">
      <alignment horizontal="center" vertical="center"/>
    </xf>
    <xf numFmtId="1" fontId="0" fillId="3" borderId="289" xfId="0" quotePrefix="1" applyNumberFormat="1" applyFill="1" applyBorder="1" applyAlignment="1">
      <alignment horizontal="center" vertical="center"/>
    </xf>
    <xf numFmtId="1" fontId="0" fillId="12" borderId="296" xfId="0" applyNumberFormat="1" applyFill="1" applyBorder="1" applyAlignment="1">
      <alignment horizontal="center" vertical="center"/>
    </xf>
    <xf numFmtId="1" fontId="0" fillId="12" borderId="297" xfId="0" applyNumberFormat="1" applyFill="1" applyBorder="1" applyAlignment="1">
      <alignment horizontal="center" vertical="center"/>
    </xf>
    <xf numFmtId="1" fontId="0" fillId="12" borderId="298" xfId="0" applyNumberFormat="1" applyFill="1" applyBorder="1" applyAlignment="1">
      <alignment horizontal="center" vertical="center"/>
    </xf>
    <xf numFmtId="1" fontId="0" fillId="12" borderId="299" xfId="0" applyNumberFormat="1" applyFill="1" applyBorder="1" applyAlignment="1">
      <alignment horizontal="center" vertical="center"/>
    </xf>
    <xf numFmtId="1" fontId="0" fillId="3" borderId="297" xfId="0" quotePrefix="1" applyNumberFormat="1" applyFill="1" applyBorder="1" applyAlignment="1">
      <alignment horizontal="center" vertical="center"/>
    </xf>
    <xf numFmtId="1" fontId="0" fillId="3" borderId="298" xfId="0" quotePrefix="1" applyNumberFormat="1" applyFill="1" applyBorder="1" applyAlignment="1">
      <alignment horizontal="center" vertical="center"/>
    </xf>
    <xf numFmtId="164" fontId="0" fillId="3" borderId="105" xfId="0" quotePrefix="1" applyNumberFormat="1" applyFill="1" applyBorder="1" applyAlignment="1">
      <alignment horizontal="center" vertical="center"/>
    </xf>
    <xf numFmtId="164" fontId="0" fillId="3" borderId="0" xfId="0" quotePrefix="1" applyNumberFormat="1" applyFill="1" applyAlignment="1">
      <alignment horizontal="center" vertical="center"/>
    </xf>
    <xf numFmtId="164" fontId="0" fillId="3" borderId="66" xfId="0" quotePrefix="1" applyNumberFormat="1" applyFill="1" applyBorder="1" applyAlignment="1">
      <alignment horizontal="center" vertical="center"/>
    </xf>
    <xf numFmtId="3" fontId="0" fillId="12" borderId="73" xfId="0" applyNumberFormat="1" applyFill="1" applyBorder="1" applyAlignment="1">
      <alignment horizontal="center"/>
    </xf>
    <xf numFmtId="3" fontId="0" fillId="12" borderId="75" xfId="0" applyNumberFormat="1" applyFill="1" applyBorder="1" applyAlignment="1">
      <alignment horizontal="center"/>
    </xf>
    <xf numFmtId="3" fontId="0" fillId="12" borderId="78" xfId="0" applyNumberFormat="1" applyFill="1" applyBorder="1" applyAlignment="1">
      <alignment horizontal="center"/>
    </xf>
    <xf numFmtId="1" fontId="0" fillId="12" borderId="260" xfId="0" applyNumberFormat="1" applyFill="1" applyBorder="1" applyAlignment="1">
      <alignment horizontal="center" vertical="center"/>
    </xf>
    <xf numFmtId="164" fontId="0" fillId="3" borderId="166" xfId="0" quotePrefix="1" applyNumberFormat="1" applyFill="1" applyBorder="1" applyAlignment="1">
      <alignment horizontal="center" vertical="center"/>
    </xf>
    <xf numFmtId="164" fontId="0" fillId="3" borderId="279" xfId="0" quotePrefix="1" applyNumberFormat="1" applyFill="1" applyBorder="1" applyAlignment="1">
      <alignment horizontal="center" vertical="center"/>
    </xf>
    <xf numFmtId="2" fontId="0" fillId="2" borderId="309" xfId="1" applyNumberFormat="1" applyFont="1" applyFill="1" applyBorder="1" applyAlignment="1">
      <alignment horizontal="center" vertical="center"/>
    </xf>
    <xf numFmtId="1" fontId="0" fillId="3" borderId="310" xfId="1" quotePrefix="1" applyNumberFormat="1" applyFont="1" applyFill="1" applyBorder="1" applyAlignment="1">
      <alignment horizontal="center" vertical="center"/>
    </xf>
    <xf numFmtId="1" fontId="0" fillId="3" borderId="311" xfId="1" quotePrefix="1" applyNumberFormat="1" applyFont="1" applyFill="1" applyBorder="1" applyAlignment="1">
      <alignment horizontal="center" vertical="center"/>
    </xf>
    <xf numFmtId="1" fontId="0" fillId="3" borderId="312" xfId="1" quotePrefix="1" applyNumberFormat="1" applyFont="1" applyFill="1" applyBorder="1" applyAlignment="1">
      <alignment horizontal="center" vertical="center"/>
    </xf>
    <xf numFmtId="1" fontId="0" fillId="5" borderId="313" xfId="1" applyNumberFormat="1" applyFont="1" applyFill="1" applyBorder="1" applyAlignment="1">
      <alignment horizontal="center" vertical="center"/>
    </xf>
    <xf numFmtId="1" fontId="0" fillId="3" borderId="313" xfId="1" quotePrefix="1" applyNumberFormat="1" applyFont="1" applyFill="1" applyBorder="1" applyAlignment="1">
      <alignment horizontal="center" vertical="center"/>
    </xf>
    <xf numFmtId="1" fontId="0" fillId="3" borderId="314" xfId="1" quotePrefix="1" applyNumberFormat="1" applyFont="1" applyFill="1" applyBorder="1" applyAlignment="1">
      <alignment horizontal="center" vertical="center"/>
    </xf>
    <xf numFmtId="1" fontId="0" fillId="4" borderId="313" xfId="1" applyNumberFormat="1" applyFont="1" applyFill="1" applyBorder="1" applyAlignment="1">
      <alignment horizontal="center" vertical="center"/>
    </xf>
    <xf numFmtId="1" fontId="0" fillId="3" borderId="315" xfId="1" quotePrefix="1" applyNumberFormat="1" applyFont="1" applyFill="1" applyBorder="1" applyAlignment="1">
      <alignment horizontal="center" vertical="center"/>
    </xf>
    <xf numFmtId="1" fontId="0" fillId="3" borderId="316" xfId="1" quotePrefix="1" applyNumberFormat="1" applyFont="1" applyFill="1" applyBorder="1" applyAlignment="1">
      <alignment horizontal="center" vertical="center"/>
    </xf>
    <xf numFmtId="166" fontId="0" fillId="2" borderId="309" xfId="1" applyNumberFormat="1" applyFont="1" applyFill="1" applyBorder="1" applyAlignment="1">
      <alignment horizontal="center" vertical="center"/>
    </xf>
    <xf numFmtId="1" fontId="0" fillId="2" borderId="309" xfId="1" applyNumberFormat="1" applyFont="1" applyFill="1" applyBorder="1" applyAlignment="1">
      <alignment horizontal="center" vertical="center"/>
    </xf>
    <xf numFmtId="165" fontId="0" fillId="2" borderId="309" xfId="1" applyNumberFormat="1" applyFont="1" applyFill="1" applyBorder="1" applyAlignment="1">
      <alignment horizontal="center" vertical="center"/>
    </xf>
    <xf numFmtId="165" fontId="0" fillId="3" borderId="310" xfId="1" quotePrefix="1" applyNumberFormat="1" applyFont="1" applyFill="1" applyBorder="1" applyAlignment="1">
      <alignment horizontal="center" vertical="center"/>
    </xf>
    <xf numFmtId="165" fontId="0" fillId="3" borderId="311" xfId="1" quotePrefix="1" applyNumberFormat="1" applyFont="1" applyFill="1" applyBorder="1" applyAlignment="1">
      <alignment horizontal="center" vertical="center"/>
    </xf>
    <xf numFmtId="165" fontId="0" fillId="3" borderId="312" xfId="1" quotePrefix="1" applyNumberFormat="1" applyFont="1" applyFill="1" applyBorder="1" applyAlignment="1">
      <alignment horizontal="center" vertical="center"/>
    </xf>
    <xf numFmtId="165" fontId="0" fillId="5" borderId="313" xfId="1" applyNumberFormat="1" applyFont="1" applyFill="1" applyBorder="1" applyAlignment="1">
      <alignment horizontal="center" vertical="center"/>
    </xf>
    <xf numFmtId="165" fontId="0" fillId="3" borderId="313" xfId="1" quotePrefix="1" applyNumberFormat="1" applyFont="1" applyFill="1" applyBorder="1" applyAlignment="1">
      <alignment horizontal="center" vertical="center"/>
    </xf>
    <xf numFmtId="165" fontId="0" fillId="3" borderId="314" xfId="1" quotePrefix="1" applyNumberFormat="1" applyFont="1" applyFill="1" applyBorder="1" applyAlignment="1">
      <alignment horizontal="center" vertical="center"/>
    </xf>
    <xf numFmtId="165" fontId="0" fillId="4" borderId="313" xfId="1" applyNumberFormat="1" applyFont="1" applyFill="1" applyBorder="1" applyAlignment="1">
      <alignment horizontal="center" vertical="center"/>
    </xf>
    <xf numFmtId="165" fontId="0" fillId="3" borderId="315" xfId="1" quotePrefix="1" applyNumberFormat="1" applyFont="1" applyFill="1" applyBorder="1" applyAlignment="1">
      <alignment horizontal="center" vertical="center"/>
    </xf>
    <xf numFmtId="165" fontId="0" fillId="3" borderId="316" xfId="1" quotePrefix="1" applyNumberFormat="1" applyFont="1" applyFill="1" applyBorder="1" applyAlignment="1">
      <alignment horizontal="center" vertical="center"/>
    </xf>
    <xf numFmtId="165" fontId="0" fillId="2" borderId="310" xfId="1" applyNumberFormat="1" applyFont="1" applyFill="1" applyBorder="1" applyAlignment="1">
      <alignment horizontal="center" vertical="center"/>
    </xf>
    <xf numFmtId="1" fontId="0" fillId="12" borderId="317" xfId="1" applyNumberFormat="1" applyFont="1" applyFill="1" applyBorder="1" applyAlignment="1">
      <alignment horizontal="center" vertical="center"/>
    </xf>
    <xf numFmtId="165" fontId="0" fillId="12" borderId="317" xfId="1" applyNumberFormat="1" applyFont="1" applyFill="1" applyBorder="1" applyAlignment="1">
      <alignment horizontal="center" vertical="center"/>
    </xf>
    <xf numFmtId="0" fontId="0" fillId="14" borderId="125" xfId="0" applyFill="1" applyBorder="1" applyAlignment="1">
      <alignment horizontal="center"/>
    </xf>
    <xf numFmtId="0" fontId="0" fillId="14" borderId="126" xfId="0" applyFill="1" applyBorder="1" applyAlignment="1">
      <alignment horizontal="center"/>
    </xf>
    <xf numFmtId="3" fontId="0" fillId="14" borderId="72" xfId="0" applyNumberFormat="1" applyFill="1" applyBorder="1" applyAlignment="1">
      <alignment horizontal="center"/>
    </xf>
    <xf numFmtId="3" fontId="0" fillId="14" borderId="79" xfId="0" applyNumberFormat="1" applyFill="1" applyBorder="1" applyAlignment="1">
      <alignment horizontal="center"/>
    </xf>
    <xf numFmtId="165" fontId="0" fillId="14" borderId="73" xfId="1" applyNumberFormat="1" applyFont="1" applyFill="1" applyBorder="1" applyAlignment="1">
      <alignment horizontal="center"/>
    </xf>
    <xf numFmtId="0" fontId="0" fillId="14" borderId="74" xfId="0" applyFill="1" applyBorder="1" applyAlignment="1">
      <alignment horizontal="center"/>
    </xf>
    <xf numFmtId="0" fontId="0" fillId="14" borderId="70" xfId="0" applyFill="1" applyBorder="1" applyAlignment="1">
      <alignment horizontal="center"/>
    </xf>
    <xf numFmtId="3" fontId="0" fillId="14" borderId="70" xfId="0" applyNumberFormat="1" applyFill="1" applyBorder="1" applyAlignment="1">
      <alignment horizontal="center"/>
    </xf>
    <xf numFmtId="3" fontId="0" fillId="14" borderId="85" xfId="0" applyNumberFormat="1" applyFill="1" applyBorder="1" applyAlignment="1">
      <alignment horizontal="center"/>
    </xf>
    <xf numFmtId="165" fontId="0" fillId="14" borderId="75" xfId="1" applyNumberFormat="1" applyFont="1" applyFill="1" applyBorder="1" applyAlignment="1">
      <alignment horizontal="center"/>
    </xf>
    <xf numFmtId="0" fontId="0" fillId="14" borderId="76" xfId="0" applyFill="1" applyBorder="1" applyAlignment="1">
      <alignment horizontal="center"/>
    </xf>
    <xf numFmtId="0" fontId="0" fillId="14" borderId="77" xfId="0" applyFill="1" applyBorder="1" applyAlignment="1">
      <alignment horizontal="center"/>
    </xf>
    <xf numFmtId="3" fontId="0" fillId="14" borderId="77" xfId="0" applyNumberFormat="1" applyFill="1" applyBorder="1" applyAlignment="1">
      <alignment horizontal="center"/>
    </xf>
    <xf numFmtId="3" fontId="0" fillId="14" borderId="82" xfId="0" applyNumberFormat="1" applyFill="1" applyBorder="1" applyAlignment="1">
      <alignment horizontal="center"/>
    </xf>
    <xf numFmtId="165" fontId="0" fillId="14" borderId="78" xfId="1" applyNumberFormat="1" applyFont="1" applyFill="1" applyBorder="1" applyAlignment="1">
      <alignment horizontal="center"/>
    </xf>
    <xf numFmtId="0" fontId="0" fillId="12" borderId="125" xfId="0" applyFill="1" applyBorder="1" applyAlignment="1">
      <alignment horizontal="center"/>
    </xf>
    <xf numFmtId="0" fontId="0" fillId="12" borderId="126" xfId="0" applyFill="1" applyBorder="1" applyAlignment="1">
      <alignment horizontal="center"/>
    </xf>
    <xf numFmtId="3" fontId="0" fillId="12" borderId="130" xfId="0" applyNumberFormat="1" applyFill="1" applyBorder="1" applyAlignment="1">
      <alignment horizontal="center"/>
    </xf>
    <xf numFmtId="3" fontId="0" fillId="12" borderId="171" xfId="0" applyNumberFormat="1" applyFill="1" applyBorder="1" applyAlignment="1">
      <alignment horizontal="center"/>
    </xf>
    <xf numFmtId="165" fontId="0" fillId="12" borderId="131" xfId="1" applyNumberFormat="1" applyFont="1" applyFill="1" applyBorder="1" applyAlignment="1">
      <alignment horizontal="center"/>
    </xf>
    <xf numFmtId="3" fontId="0" fillId="12" borderId="70" xfId="0" applyNumberFormat="1" applyFill="1" applyBorder="1" applyAlignment="1">
      <alignment horizontal="center"/>
    </xf>
    <xf numFmtId="3" fontId="0" fillId="12" borderId="85" xfId="0" applyNumberFormat="1" applyFill="1" applyBorder="1" applyAlignment="1">
      <alignment horizontal="center"/>
    </xf>
    <xf numFmtId="3" fontId="0" fillId="12" borderId="77" xfId="0" applyNumberFormat="1" applyFill="1" applyBorder="1" applyAlignment="1">
      <alignment horizontal="center"/>
    </xf>
    <xf numFmtId="3" fontId="0" fillId="12" borderId="82" xfId="0" applyNumberFormat="1" applyFill="1" applyBorder="1" applyAlignment="1">
      <alignment horizontal="center"/>
    </xf>
    <xf numFmtId="0" fontId="0" fillId="5" borderId="93" xfId="0" applyFill="1" applyBorder="1" applyAlignment="1">
      <alignment horizontal="center" vertical="center"/>
    </xf>
    <xf numFmtId="0" fontId="0" fillId="5" borderId="96" xfId="0" applyFill="1" applyBorder="1" applyAlignment="1">
      <alignment horizontal="center" vertical="center"/>
    </xf>
    <xf numFmtId="0" fontId="0" fillId="5" borderId="97" xfId="0" applyFill="1" applyBorder="1" applyAlignment="1">
      <alignment horizontal="center" vertical="center"/>
    </xf>
    <xf numFmtId="0" fontId="0" fillId="5" borderId="96" xfId="0" applyFill="1" applyBorder="1" applyAlignment="1">
      <alignment horizontal="center"/>
    </xf>
    <xf numFmtId="0" fontId="0" fillId="5" borderId="97" xfId="0" applyFill="1" applyBorder="1" applyAlignment="1">
      <alignment horizontal="center"/>
    </xf>
    <xf numFmtId="0" fontId="0" fillId="5" borderId="106" xfId="0" applyFill="1" applyBorder="1" applyAlignment="1">
      <alignment horizontal="center" vertical="center"/>
    </xf>
    <xf numFmtId="0" fontId="0" fillId="5" borderId="98" xfId="0" applyFill="1" applyBorder="1" applyAlignment="1">
      <alignment horizontal="center" vertical="center"/>
    </xf>
    <xf numFmtId="0" fontId="0" fillId="5" borderId="99" xfId="0" applyFill="1" applyBorder="1" applyAlignment="1">
      <alignment horizontal="center" vertical="center"/>
    </xf>
    <xf numFmtId="0" fontId="0" fillId="5" borderId="94" xfId="0" applyFill="1" applyBorder="1" applyAlignment="1">
      <alignment horizontal="center" vertical="center"/>
    </xf>
    <xf numFmtId="0" fontId="0" fillId="5" borderId="95" xfId="0" applyFill="1" applyBorder="1" applyAlignment="1">
      <alignment horizontal="center" vertical="center"/>
    </xf>
    <xf numFmtId="0" fontId="0" fillId="5" borderId="100" xfId="0" applyFill="1" applyBorder="1" applyAlignment="1">
      <alignment horizontal="center" vertical="center"/>
    </xf>
    <xf numFmtId="0" fontId="0" fillId="5" borderId="101" xfId="0" applyFill="1" applyBorder="1" applyAlignment="1">
      <alignment horizontal="center" vertical="center"/>
    </xf>
    <xf numFmtId="0" fontId="21" fillId="0" borderId="0" xfId="0" applyFont="1"/>
    <xf numFmtId="2" fontId="0" fillId="5" borderId="72" xfId="0" applyNumberFormat="1" applyFill="1" applyBorder="1" applyAlignment="1">
      <alignment horizontal="center"/>
    </xf>
    <xf numFmtId="2" fontId="0" fillId="5" borderId="77" xfId="0" applyNumberFormat="1" applyFill="1" applyBorder="1" applyAlignment="1">
      <alignment horizontal="center"/>
    </xf>
    <xf numFmtId="2" fontId="0" fillId="4" borderId="72" xfId="0" applyNumberFormat="1" applyFill="1" applyBorder="1" applyAlignment="1">
      <alignment horizontal="center"/>
    </xf>
    <xf numFmtId="2" fontId="0" fillId="4" borderId="70" xfId="0" applyNumberFormat="1" applyFill="1" applyBorder="1" applyAlignment="1">
      <alignment horizontal="center"/>
    </xf>
    <xf numFmtId="2" fontId="0" fillId="4" borderId="77" xfId="0" applyNumberFormat="1" applyFill="1" applyBorder="1" applyAlignment="1">
      <alignment horizontal="center"/>
    </xf>
    <xf numFmtId="2" fontId="0" fillId="2" borderId="70" xfId="0" applyNumberFormat="1" applyFill="1" applyBorder="1" applyAlignment="1">
      <alignment horizontal="center"/>
    </xf>
    <xf numFmtId="2" fontId="0" fillId="2" borderId="77" xfId="0" applyNumberFormat="1" applyFill="1" applyBorder="1" applyAlignment="1">
      <alignment horizontal="center"/>
    </xf>
    <xf numFmtId="10" fontId="0" fillId="4" borderId="73" xfId="1" applyNumberFormat="1" applyFont="1" applyFill="1" applyBorder="1" applyAlignment="1">
      <alignment horizontal="center"/>
    </xf>
    <xf numFmtId="10" fontId="0" fillId="4" borderId="75" xfId="1" applyNumberFormat="1" applyFont="1" applyFill="1" applyBorder="1" applyAlignment="1">
      <alignment horizontal="center"/>
    </xf>
    <xf numFmtId="10" fontId="0" fillId="4" borderId="78" xfId="1" applyNumberFormat="1" applyFont="1" applyFill="1" applyBorder="1" applyAlignment="1">
      <alignment horizontal="center"/>
    </xf>
    <xf numFmtId="167" fontId="0" fillId="4" borderId="75" xfId="1" applyNumberFormat="1" applyFont="1" applyFill="1" applyBorder="1" applyAlignment="1">
      <alignment horizontal="center"/>
    </xf>
    <xf numFmtId="10" fontId="0" fillId="5" borderId="73" xfId="1" applyNumberFormat="1" applyFont="1" applyFill="1" applyBorder="1" applyAlignment="1">
      <alignment horizontal="center"/>
    </xf>
    <xf numFmtId="10" fontId="0" fillId="5" borderId="75" xfId="1" applyNumberFormat="1" applyFont="1" applyFill="1" applyBorder="1" applyAlignment="1">
      <alignment horizontal="center"/>
    </xf>
    <xf numFmtId="10" fontId="0" fillId="5" borderId="78" xfId="1" applyNumberFormat="1" applyFont="1" applyFill="1" applyBorder="1" applyAlignment="1">
      <alignment horizontal="center"/>
    </xf>
    <xf numFmtId="10" fontId="0" fillId="12" borderId="73" xfId="1" applyNumberFormat="1" applyFont="1" applyFill="1" applyBorder="1" applyAlignment="1">
      <alignment horizontal="center"/>
    </xf>
    <xf numFmtId="10" fontId="0" fillId="12" borderId="75" xfId="1" applyNumberFormat="1" applyFont="1" applyFill="1" applyBorder="1" applyAlignment="1">
      <alignment horizontal="center"/>
    </xf>
    <xf numFmtId="10" fontId="0" fillId="12" borderId="78" xfId="1" applyNumberFormat="1" applyFont="1" applyFill="1" applyBorder="1" applyAlignment="1">
      <alignment horizontal="center"/>
    </xf>
    <xf numFmtId="10" fontId="0" fillId="2" borderId="75" xfId="1" applyNumberFormat="1" applyFont="1" applyFill="1" applyBorder="1" applyAlignment="1">
      <alignment horizontal="center"/>
    </xf>
    <xf numFmtId="10" fontId="0" fillId="2" borderId="78" xfId="1" applyNumberFormat="1" applyFont="1" applyFill="1" applyBorder="1" applyAlignment="1">
      <alignment horizontal="center"/>
    </xf>
    <xf numFmtId="0" fontId="5" fillId="2" borderId="321" xfId="0" applyFont="1" applyFill="1" applyBorder="1" applyAlignment="1">
      <alignment horizontal="center" vertical="center"/>
    </xf>
    <xf numFmtId="0" fontId="5" fillId="2" borderId="239" xfId="0" applyFont="1" applyFill="1" applyBorder="1" applyAlignment="1">
      <alignment horizontal="center" vertical="center"/>
    </xf>
    <xf numFmtId="0" fontId="5" fillId="2" borderId="240" xfId="0" applyFont="1" applyFill="1" applyBorder="1" applyAlignment="1">
      <alignment horizontal="center" vertical="center"/>
    </xf>
    <xf numFmtId="0" fontId="5" fillId="5" borderId="322" xfId="0" applyFont="1" applyFill="1" applyBorder="1" applyAlignment="1">
      <alignment horizontal="center" vertical="center"/>
    </xf>
    <xf numFmtId="0" fontId="5" fillId="5" borderId="152" xfId="0" applyFont="1" applyFill="1" applyBorder="1" applyAlignment="1">
      <alignment horizontal="center" vertical="center"/>
    </xf>
    <xf numFmtId="0" fontId="5" fillId="5" borderId="241" xfId="0" applyFont="1" applyFill="1" applyBorder="1" applyAlignment="1">
      <alignment horizontal="center" vertical="center"/>
    </xf>
    <xf numFmtId="0" fontId="5" fillId="4" borderId="322" xfId="0" applyFont="1" applyFill="1" applyBorder="1" applyAlignment="1">
      <alignment horizontal="center" vertical="center"/>
    </xf>
    <xf numFmtId="0" fontId="5" fillId="4" borderId="152" xfId="0" applyFont="1" applyFill="1" applyBorder="1" applyAlignment="1">
      <alignment horizontal="center" vertical="center"/>
    </xf>
    <xf numFmtId="0" fontId="5" fillId="4" borderId="241" xfId="0" applyFont="1" applyFill="1" applyBorder="1" applyAlignment="1">
      <alignment horizontal="center" vertical="center"/>
    </xf>
    <xf numFmtId="0" fontId="5" fillId="12" borderId="323" xfId="0" applyFont="1" applyFill="1" applyBorder="1" applyAlignment="1">
      <alignment horizontal="center" vertical="center"/>
    </xf>
    <xf numFmtId="0" fontId="5" fillId="12" borderId="243" xfId="0" applyFont="1" applyFill="1" applyBorder="1" applyAlignment="1">
      <alignment horizontal="center" vertical="center"/>
    </xf>
    <xf numFmtId="0" fontId="5" fillId="12" borderId="244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0" fillId="12" borderId="85" xfId="0" applyFill="1" applyBorder="1" applyAlignment="1">
      <alignment horizontal="center"/>
    </xf>
    <xf numFmtId="0" fontId="0" fillId="12" borderId="86" xfId="0" applyFill="1" applyBorder="1" applyAlignment="1">
      <alignment horizontal="center"/>
    </xf>
    <xf numFmtId="0" fontId="0" fillId="12" borderId="87" xfId="0" applyFill="1" applyBorder="1" applyAlignment="1">
      <alignment horizontal="center"/>
    </xf>
    <xf numFmtId="0" fontId="0" fillId="12" borderId="82" xfId="0" applyFill="1" applyBorder="1" applyAlignment="1">
      <alignment horizontal="center"/>
    </xf>
    <xf numFmtId="0" fontId="0" fillId="12" borderId="83" xfId="0" applyFill="1" applyBorder="1" applyAlignment="1">
      <alignment horizontal="center"/>
    </xf>
    <xf numFmtId="0" fontId="0" fillId="12" borderId="84" xfId="0" applyFill="1" applyBorder="1" applyAlignment="1">
      <alignment horizontal="center"/>
    </xf>
    <xf numFmtId="0" fontId="18" fillId="12" borderId="134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0" fillId="12" borderId="127" xfId="0" applyFill="1" applyBorder="1" applyAlignment="1">
      <alignment horizontal="center"/>
    </xf>
    <xf numFmtId="0" fontId="0" fillId="12" borderId="128" xfId="0" applyFill="1" applyBorder="1" applyAlignment="1">
      <alignment horizontal="center"/>
    </xf>
    <xf numFmtId="0" fontId="0" fillId="12" borderId="129" xfId="0" applyFill="1" applyBorder="1" applyAlignment="1">
      <alignment horizontal="center"/>
    </xf>
    <xf numFmtId="1" fontId="12" fillId="9" borderId="305" xfId="0" applyNumberFormat="1" applyFont="1" applyFill="1" applyBorder="1" applyAlignment="1">
      <alignment horizontal="center" vertical="center"/>
    </xf>
    <xf numFmtId="1" fontId="12" fillId="9" borderId="306" xfId="0" applyNumberFormat="1" applyFont="1" applyFill="1" applyBorder="1" applyAlignment="1">
      <alignment horizontal="center" vertical="center"/>
    </xf>
    <xf numFmtId="1" fontId="12" fillId="9" borderId="307" xfId="0" applyNumberFormat="1" applyFont="1" applyFill="1" applyBorder="1" applyAlignment="1">
      <alignment horizontal="center" vertical="center"/>
    </xf>
    <xf numFmtId="165" fontId="1" fillId="9" borderId="319" xfId="1" applyNumberFormat="1" applyFont="1" applyFill="1" applyBorder="1" applyAlignment="1">
      <alignment horizontal="center" vertical="center"/>
    </xf>
    <xf numFmtId="165" fontId="1" fillId="9" borderId="219" xfId="1" applyNumberFormat="1" applyFont="1" applyFill="1" applyBorder="1" applyAlignment="1">
      <alignment horizontal="center" vertical="center"/>
    </xf>
    <xf numFmtId="165" fontId="1" fillId="9" borderId="237" xfId="1" applyNumberFormat="1" applyFont="1" applyFill="1" applyBorder="1" applyAlignment="1">
      <alignment horizontal="center" vertical="center"/>
    </xf>
    <xf numFmtId="0" fontId="5" fillId="12" borderId="242" xfId="0" applyFont="1" applyFill="1" applyBorder="1" applyAlignment="1">
      <alignment horizontal="center" vertical="center"/>
    </xf>
    <xf numFmtId="0" fontId="5" fillId="2" borderId="238" xfId="0" applyFont="1" applyFill="1" applyBorder="1" applyAlignment="1">
      <alignment horizontal="center" vertical="center"/>
    </xf>
    <xf numFmtId="0" fontId="5" fillId="5" borderId="151" xfId="0" applyFont="1" applyFill="1" applyBorder="1" applyAlignment="1">
      <alignment horizontal="center" vertical="center"/>
    </xf>
    <xf numFmtId="0" fontId="5" fillId="4" borderId="151" xfId="0" applyFont="1" applyFill="1" applyBorder="1" applyAlignment="1">
      <alignment horizontal="center" vertical="center"/>
    </xf>
    <xf numFmtId="0" fontId="13" fillId="9" borderId="227" xfId="0" applyFont="1" applyFill="1" applyBorder="1" applyAlignment="1">
      <alignment horizontal="center" vertical="center"/>
    </xf>
    <xf numFmtId="1" fontId="12" fillId="9" borderId="308" xfId="0" applyNumberFormat="1" applyFont="1" applyFill="1" applyBorder="1" applyAlignment="1">
      <alignment horizontal="center" vertical="center"/>
    </xf>
    <xf numFmtId="1" fontId="12" fillId="9" borderId="34" xfId="0" applyNumberFormat="1" applyFont="1" applyFill="1" applyBorder="1" applyAlignment="1">
      <alignment horizontal="center" vertical="center"/>
    </xf>
    <xf numFmtId="165" fontId="1" fillId="9" borderId="318" xfId="1" applyNumberFormat="1" applyFont="1" applyFill="1" applyBorder="1" applyAlignment="1">
      <alignment horizontal="center" vertical="center"/>
    </xf>
    <xf numFmtId="165" fontId="1" fillId="9" borderId="34" xfId="1" applyNumberFormat="1" applyFont="1" applyFill="1" applyBorder="1" applyAlignment="1">
      <alignment horizontal="center" vertical="center"/>
    </xf>
    <xf numFmtId="1" fontId="0" fillId="6" borderId="305" xfId="0" applyNumberFormat="1" applyFill="1" applyBorder="1" applyAlignment="1">
      <alignment horizontal="center"/>
    </xf>
    <xf numFmtId="1" fontId="0" fillId="6" borderId="306" xfId="0" applyNumberFormat="1" applyFill="1" applyBorder="1" applyAlignment="1">
      <alignment horizontal="center"/>
    </xf>
    <xf numFmtId="1" fontId="0" fillId="6" borderId="307" xfId="0" applyNumberFormat="1" applyFill="1" applyBorder="1" applyAlignment="1">
      <alignment horizontal="center"/>
    </xf>
    <xf numFmtId="0" fontId="11" fillId="10" borderId="154" xfId="0" applyFont="1" applyFill="1" applyBorder="1" applyAlignment="1">
      <alignment horizontal="left" vertical="center"/>
    </xf>
    <xf numFmtId="0" fontId="11" fillId="10" borderId="155" xfId="0" applyFont="1" applyFill="1" applyBorder="1" applyAlignment="1">
      <alignment horizontal="left" vertical="center"/>
    </xf>
    <xf numFmtId="0" fontId="11" fillId="10" borderId="156" xfId="0" applyFont="1" applyFill="1" applyBorder="1" applyAlignment="1">
      <alignment horizontal="left" vertical="center"/>
    </xf>
    <xf numFmtId="0" fontId="6" fillId="10" borderId="154" xfId="0" applyFont="1" applyFill="1" applyBorder="1" applyAlignment="1">
      <alignment horizontal="left" vertical="center"/>
    </xf>
    <xf numFmtId="0" fontId="6" fillId="10" borderId="155" xfId="0" applyFont="1" applyFill="1" applyBorder="1" applyAlignment="1">
      <alignment horizontal="left" vertical="center"/>
    </xf>
    <xf numFmtId="0" fontId="6" fillId="10" borderId="156" xfId="0" applyFont="1" applyFill="1" applyBorder="1" applyAlignment="1">
      <alignment horizontal="left" vertical="center"/>
    </xf>
    <xf numFmtId="1" fontId="12" fillId="9" borderId="320" xfId="0" applyNumberFormat="1" applyFont="1" applyFill="1" applyBorder="1" applyAlignment="1">
      <alignment horizontal="center" vertical="center"/>
    </xf>
    <xf numFmtId="0" fontId="2" fillId="6" borderId="30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5" fillId="2" borderId="30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5" borderId="30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4" borderId="30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12" borderId="303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11" fillId="10" borderId="122" xfId="0" applyFont="1" applyFill="1" applyBorder="1" applyAlignment="1">
      <alignment horizontal="center" vertical="center"/>
    </xf>
    <xf numFmtId="0" fontId="11" fillId="10" borderId="123" xfId="0" applyFont="1" applyFill="1" applyBorder="1" applyAlignment="1">
      <alignment horizontal="center" vertical="center"/>
    </xf>
    <xf numFmtId="0" fontId="11" fillId="10" borderId="124" xfId="0" applyFont="1" applyFill="1" applyBorder="1" applyAlignment="1">
      <alignment horizontal="center" vertical="center"/>
    </xf>
    <xf numFmtId="1" fontId="0" fillId="6" borderId="308" xfId="0" applyNumberFormat="1" applyFill="1" applyBorder="1" applyAlignment="1">
      <alignment horizontal="center"/>
    </xf>
    <xf numFmtId="1" fontId="0" fillId="6" borderId="34" xfId="0" applyNumberFormat="1" applyFill="1" applyBorder="1" applyAlignment="1">
      <alignment horizontal="center"/>
    </xf>
    <xf numFmtId="0" fontId="0" fillId="4" borderId="79" xfId="0" applyFill="1" applyBorder="1" applyAlignment="1">
      <alignment horizontal="center"/>
    </xf>
    <xf numFmtId="0" fontId="0" fillId="4" borderId="80" xfId="0" applyFill="1" applyBorder="1" applyAlignment="1">
      <alignment horizontal="center"/>
    </xf>
    <xf numFmtId="0" fontId="0" fillId="4" borderId="81" xfId="0" applyFill="1" applyBorder="1" applyAlignment="1">
      <alignment horizontal="center"/>
    </xf>
    <xf numFmtId="0" fontId="0" fillId="4" borderId="85" xfId="0" applyFill="1" applyBorder="1" applyAlignment="1">
      <alignment horizontal="center"/>
    </xf>
    <xf numFmtId="0" fontId="0" fillId="4" borderId="86" xfId="0" applyFill="1" applyBorder="1" applyAlignment="1">
      <alignment horizontal="center"/>
    </xf>
    <xf numFmtId="0" fontId="0" fillId="4" borderId="87" xfId="0" applyFill="1" applyBorder="1" applyAlignment="1">
      <alignment horizontal="center"/>
    </xf>
    <xf numFmtId="0" fontId="0" fillId="4" borderId="82" xfId="0" applyFill="1" applyBorder="1" applyAlignment="1">
      <alignment horizontal="center"/>
    </xf>
    <xf numFmtId="0" fontId="0" fillId="4" borderId="83" xfId="0" applyFill="1" applyBorder="1" applyAlignment="1">
      <alignment horizontal="center"/>
    </xf>
    <xf numFmtId="0" fontId="0" fillId="4" borderId="84" xfId="0" applyFill="1" applyBorder="1" applyAlignment="1">
      <alignment horizontal="center"/>
    </xf>
    <xf numFmtId="0" fontId="18" fillId="4" borderId="245" xfId="0" applyFont="1" applyFill="1" applyBorder="1" applyAlignment="1">
      <alignment horizontal="center" vertical="center"/>
    </xf>
    <xf numFmtId="0" fontId="18" fillId="4" borderId="123" xfId="0" applyFont="1" applyFill="1" applyBorder="1" applyAlignment="1">
      <alignment horizontal="center" vertical="center"/>
    </xf>
    <xf numFmtId="0" fontId="18" fillId="4" borderId="246" xfId="0" applyFont="1" applyFill="1" applyBorder="1" applyAlignment="1">
      <alignment horizontal="center" vertical="center"/>
    </xf>
    <xf numFmtId="0" fontId="18" fillId="12" borderId="245" xfId="0" applyFont="1" applyFill="1" applyBorder="1" applyAlignment="1">
      <alignment horizontal="center" vertical="center"/>
    </xf>
    <xf numFmtId="0" fontId="18" fillId="12" borderId="123" xfId="0" applyFont="1" applyFill="1" applyBorder="1" applyAlignment="1">
      <alignment horizontal="center" vertical="center"/>
    </xf>
    <xf numFmtId="0" fontId="18" fillId="12" borderId="246" xfId="0" applyFont="1" applyFill="1" applyBorder="1" applyAlignment="1">
      <alignment horizontal="center" vertical="center"/>
    </xf>
    <xf numFmtId="0" fontId="0" fillId="12" borderId="79" xfId="0" applyFill="1" applyBorder="1" applyAlignment="1">
      <alignment horizontal="center"/>
    </xf>
    <xf numFmtId="0" fontId="0" fillId="12" borderId="80" xfId="0" applyFill="1" applyBorder="1" applyAlignment="1">
      <alignment horizontal="center"/>
    </xf>
    <xf numFmtId="0" fontId="0" fillId="12" borderId="81" xfId="0" applyFill="1" applyBorder="1" applyAlignment="1">
      <alignment horizontal="center"/>
    </xf>
    <xf numFmtId="0" fontId="4" fillId="0" borderId="174" xfId="0" applyFont="1" applyBorder="1" applyAlignment="1">
      <alignment horizontal="center" vertical="center" textRotation="90"/>
    </xf>
    <xf numFmtId="0" fontId="4" fillId="0" borderId="175" xfId="0" applyFont="1" applyBorder="1" applyAlignment="1">
      <alignment horizontal="center" vertical="center" textRotation="90"/>
    </xf>
    <xf numFmtId="0" fontId="4" fillId="0" borderId="176" xfId="0" applyFont="1" applyBorder="1" applyAlignment="1">
      <alignment horizontal="center" vertical="center" textRotation="90"/>
    </xf>
    <xf numFmtId="0" fontId="0" fillId="12" borderId="91" xfId="0" applyFill="1" applyBorder="1" applyAlignment="1">
      <alignment horizontal="center" vertical="center" textRotation="90" wrapText="1"/>
    </xf>
    <xf numFmtId="0" fontId="0" fillId="12" borderId="89" xfId="0" applyFill="1" applyBorder="1" applyAlignment="1">
      <alignment horizontal="center" vertical="center" textRotation="90" wrapText="1"/>
    </xf>
    <xf numFmtId="0" fontId="0" fillId="12" borderId="90" xfId="0" applyFill="1" applyBorder="1" applyAlignment="1">
      <alignment horizontal="center" vertical="center" textRotation="90" wrapText="1"/>
    </xf>
    <xf numFmtId="0" fontId="0" fillId="12" borderId="92" xfId="0" applyFill="1" applyBorder="1" applyAlignment="1">
      <alignment horizontal="center" vertical="center" textRotation="90" wrapText="1"/>
    </xf>
    <xf numFmtId="0" fontId="0" fillId="12" borderId="251" xfId="0" applyFill="1" applyBorder="1" applyAlignment="1">
      <alignment horizontal="left"/>
    </xf>
    <xf numFmtId="0" fontId="0" fillId="12" borderId="170" xfId="0" applyFill="1" applyBorder="1" applyAlignment="1">
      <alignment horizontal="left"/>
    </xf>
    <xf numFmtId="0" fontId="6" fillId="0" borderId="142" xfId="0" applyFont="1" applyBorder="1" applyAlignment="1">
      <alignment horizontal="left" vertical="center"/>
    </xf>
    <xf numFmtId="0" fontId="6" fillId="0" borderId="143" xfId="0" applyFont="1" applyBorder="1" applyAlignment="1">
      <alignment horizontal="left" vertical="center"/>
    </xf>
    <xf numFmtId="0" fontId="6" fillId="0" borderId="144" xfId="0" applyFont="1" applyBorder="1" applyAlignment="1">
      <alignment horizontal="left" vertical="center"/>
    </xf>
    <xf numFmtId="0" fontId="18" fillId="2" borderId="122" xfId="0" applyFont="1" applyFill="1" applyBorder="1" applyAlignment="1">
      <alignment horizontal="center" vertical="center"/>
    </xf>
    <xf numFmtId="0" fontId="18" fillId="2" borderId="123" xfId="0" applyFont="1" applyFill="1" applyBorder="1" applyAlignment="1">
      <alignment horizontal="center" vertical="center"/>
    </xf>
    <xf numFmtId="0" fontId="18" fillId="2" borderId="124" xfId="0" applyFont="1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 textRotation="90" wrapText="1"/>
    </xf>
    <xf numFmtId="0" fontId="0" fillId="12" borderId="23" xfId="0" applyFill="1" applyBorder="1" applyAlignment="1">
      <alignment horizontal="center" vertical="center" textRotation="90" wrapText="1"/>
    </xf>
    <xf numFmtId="0" fontId="0" fillId="12" borderId="110" xfId="0" applyFill="1" applyBorder="1" applyAlignment="1">
      <alignment horizontal="center" vertical="center"/>
    </xf>
    <xf numFmtId="0" fontId="0" fillId="12" borderId="111" xfId="0" applyFill="1" applyBorder="1" applyAlignment="1">
      <alignment horizontal="center" vertical="center"/>
    </xf>
    <xf numFmtId="0" fontId="0" fillId="12" borderId="112" xfId="0" applyFill="1" applyBorder="1" applyAlignment="1">
      <alignment horizontal="center" vertical="center"/>
    </xf>
    <xf numFmtId="0" fontId="0" fillId="12" borderId="113" xfId="0" applyFill="1" applyBorder="1" applyAlignment="1">
      <alignment horizontal="center" vertical="center"/>
    </xf>
    <xf numFmtId="0" fontId="0" fillId="2" borderId="85" xfId="0" applyFill="1" applyBorder="1" applyAlignment="1">
      <alignment horizontal="center"/>
    </xf>
    <xf numFmtId="0" fontId="0" fillId="2" borderId="86" xfId="0" applyFill="1" applyBorder="1" applyAlignment="1">
      <alignment horizontal="center"/>
    </xf>
    <xf numFmtId="0" fontId="0" fillId="2" borderId="87" xfId="0" applyFill="1" applyBorder="1" applyAlignment="1">
      <alignment horizontal="center"/>
    </xf>
    <xf numFmtId="0" fontId="0" fillId="2" borderId="82" xfId="0" applyFill="1" applyBorder="1" applyAlignment="1">
      <alignment horizontal="center"/>
    </xf>
    <xf numFmtId="0" fontId="0" fillId="2" borderId="83" xfId="0" applyFill="1" applyBorder="1" applyAlignment="1">
      <alignment horizontal="center"/>
    </xf>
    <xf numFmtId="0" fontId="0" fillId="2" borderId="84" xfId="0" applyFill="1" applyBorder="1" applyAlignment="1">
      <alignment horizontal="center"/>
    </xf>
    <xf numFmtId="0" fontId="18" fillId="5" borderId="245" xfId="0" applyFont="1" applyFill="1" applyBorder="1" applyAlignment="1">
      <alignment horizontal="center" vertical="center"/>
    </xf>
    <xf numFmtId="0" fontId="18" fillId="5" borderId="123" xfId="0" applyFont="1" applyFill="1" applyBorder="1" applyAlignment="1">
      <alignment horizontal="center" vertical="center"/>
    </xf>
    <xf numFmtId="0" fontId="18" fillId="5" borderId="246" xfId="0" applyFont="1" applyFill="1" applyBorder="1" applyAlignment="1">
      <alignment horizontal="center" vertical="center"/>
    </xf>
    <xf numFmtId="0" fontId="0" fillId="5" borderId="79" xfId="0" applyFill="1" applyBorder="1" applyAlignment="1">
      <alignment horizontal="center"/>
    </xf>
    <xf numFmtId="0" fontId="0" fillId="5" borderId="80" xfId="0" applyFill="1" applyBorder="1" applyAlignment="1">
      <alignment horizontal="center"/>
    </xf>
    <xf numFmtId="0" fontId="0" fillId="5" borderId="81" xfId="0" applyFill="1" applyBorder="1" applyAlignment="1">
      <alignment horizontal="center"/>
    </xf>
    <xf numFmtId="0" fontId="0" fillId="5" borderId="85" xfId="0" applyFill="1" applyBorder="1" applyAlignment="1">
      <alignment horizontal="center"/>
    </xf>
    <xf numFmtId="0" fontId="0" fillId="5" borderId="86" xfId="0" applyFill="1" applyBorder="1" applyAlignment="1">
      <alignment horizontal="center"/>
    </xf>
    <xf numFmtId="0" fontId="0" fillId="5" borderId="87" xfId="0" applyFill="1" applyBorder="1" applyAlignment="1">
      <alignment horizontal="center"/>
    </xf>
    <xf numFmtId="0" fontId="0" fillId="13" borderId="112" xfId="0" applyFill="1" applyBorder="1" applyAlignment="1">
      <alignment horizontal="center" vertical="center"/>
    </xf>
    <xf numFmtId="0" fontId="0" fillId="13" borderId="113" xfId="0" applyFill="1" applyBorder="1" applyAlignment="1">
      <alignment horizontal="center" vertical="center"/>
    </xf>
    <xf numFmtId="0" fontId="0" fillId="4" borderId="110" xfId="0" applyFill="1" applyBorder="1" applyAlignment="1">
      <alignment horizontal="center" vertical="center"/>
    </xf>
    <xf numFmtId="0" fontId="0" fillId="4" borderId="111" xfId="0" applyFill="1" applyBorder="1" applyAlignment="1">
      <alignment horizontal="center" vertical="center"/>
    </xf>
    <xf numFmtId="0" fontId="0" fillId="4" borderId="112" xfId="0" applyFill="1" applyBorder="1" applyAlignment="1">
      <alignment horizontal="center" vertical="center"/>
    </xf>
    <xf numFmtId="0" fontId="0" fillId="4" borderId="113" xfId="0" applyFill="1" applyBorder="1" applyAlignment="1">
      <alignment horizontal="center" vertical="center"/>
    </xf>
    <xf numFmtId="0" fontId="2" fillId="6" borderId="227" xfId="0" applyFont="1" applyFill="1" applyBorder="1" applyAlignment="1">
      <alignment horizontal="center" vertical="center"/>
    </xf>
    <xf numFmtId="0" fontId="6" fillId="12" borderId="163" xfId="0" applyFont="1" applyFill="1" applyBorder="1" applyAlignment="1">
      <alignment horizontal="left" vertical="center"/>
    </xf>
    <xf numFmtId="0" fontId="6" fillId="12" borderId="164" xfId="0" applyFont="1" applyFill="1" applyBorder="1" applyAlignment="1">
      <alignment horizontal="left" vertical="center"/>
    </xf>
    <xf numFmtId="0" fontId="6" fillId="12" borderId="165" xfId="0" applyFont="1" applyFill="1" applyBorder="1" applyAlignment="1">
      <alignment horizontal="left" vertical="center"/>
    </xf>
    <xf numFmtId="0" fontId="18" fillId="12" borderId="119" xfId="0" applyFont="1" applyFill="1" applyBorder="1" applyAlignment="1">
      <alignment horizontal="center" vertical="center"/>
    </xf>
    <xf numFmtId="0" fontId="18" fillId="12" borderId="120" xfId="0" applyFont="1" applyFill="1" applyBorder="1" applyAlignment="1">
      <alignment horizontal="center" vertical="center"/>
    </xf>
    <xf numFmtId="0" fontId="18" fillId="12" borderId="121" xfId="0" applyFont="1" applyFill="1" applyBorder="1" applyAlignment="1">
      <alignment horizontal="center" vertical="center"/>
    </xf>
    <xf numFmtId="2" fontId="1" fillId="6" borderId="236" xfId="0" applyNumberFormat="1" applyFont="1" applyFill="1" applyBorder="1" applyAlignment="1">
      <alignment horizontal="center" vertical="center"/>
    </xf>
    <xf numFmtId="2" fontId="1" fillId="6" borderId="219" xfId="0" applyNumberFormat="1" applyFont="1" applyFill="1" applyBorder="1" applyAlignment="1">
      <alignment horizontal="center" vertical="center"/>
    </xf>
    <xf numFmtId="2" fontId="1" fillId="6" borderId="237" xfId="0" applyNumberFormat="1" applyFont="1" applyFill="1" applyBorder="1" applyAlignment="1">
      <alignment horizontal="center" vertical="center"/>
    </xf>
    <xf numFmtId="10" fontId="1" fillId="6" borderId="236" xfId="1" applyNumberFormat="1" applyFont="1" applyFill="1" applyBorder="1" applyAlignment="1">
      <alignment horizontal="center" vertical="center"/>
    </xf>
    <xf numFmtId="10" fontId="1" fillId="6" borderId="219" xfId="1" applyNumberFormat="1" applyFont="1" applyFill="1" applyBorder="1" applyAlignment="1">
      <alignment horizontal="center" vertical="center"/>
    </xf>
    <xf numFmtId="10" fontId="1" fillId="6" borderId="237" xfId="1" applyNumberFormat="1" applyFont="1" applyFill="1" applyBorder="1" applyAlignment="1">
      <alignment horizontal="center" vertical="center"/>
    </xf>
    <xf numFmtId="0" fontId="6" fillId="13" borderId="67" xfId="0" applyFont="1" applyFill="1" applyBorder="1" applyAlignment="1">
      <alignment horizontal="left" vertical="center"/>
    </xf>
    <xf numFmtId="0" fontId="6" fillId="13" borderId="68" xfId="0" applyFont="1" applyFill="1" applyBorder="1" applyAlignment="1">
      <alignment horizontal="left" vertical="center"/>
    </xf>
    <xf numFmtId="0" fontId="6" fillId="13" borderId="69" xfId="0" applyFont="1" applyFill="1" applyBorder="1" applyAlignment="1">
      <alignment horizontal="left" vertical="center"/>
    </xf>
    <xf numFmtId="0" fontId="6" fillId="4" borderId="67" xfId="0" applyFont="1" applyFill="1" applyBorder="1" applyAlignment="1">
      <alignment horizontal="left" vertical="center"/>
    </xf>
    <xf numFmtId="0" fontId="6" fillId="4" borderId="68" xfId="0" applyFont="1" applyFill="1" applyBorder="1" applyAlignment="1">
      <alignment horizontal="left" vertical="center"/>
    </xf>
    <xf numFmtId="0" fontId="6" fillId="4" borderId="69" xfId="0" applyFont="1" applyFill="1" applyBorder="1" applyAlignment="1">
      <alignment horizontal="left" vertical="center"/>
    </xf>
    <xf numFmtId="0" fontId="7" fillId="14" borderId="25" xfId="0" applyFont="1" applyFill="1" applyBorder="1" applyAlignment="1">
      <alignment horizontal="left" vertical="center" wrapText="1"/>
    </xf>
    <xf numFmtId="0" fontId="7" fillId="14" borderId="26" xfId="0" applyFont="1" applyFill="1" applyBorder="1" applyAlignment="1">
      <alignment horizontal="left" vertical="center" wrapText="1"/>
    </xf>
    <xf numFmtId="0" fontId="7" fillId="14" borderId="27" xfId="0" applyFont="1" applyFill="1" applyBorder="1" applyAlignment="1">
      <alignment horizontal="left" vertical="center" wrapText="1"/>
    </xf>
    <xf numFmtId="0" fontId="11" fillId="10" borderId="148" xfId="0" applyFont="1" applyFill="1" applyBorder="1" applyAlignment="1">
      <alignment horizontal="left" vertical="center"/>
    </xf>
    <xf numFmtId="0" fontId="11" fillId="10" borderId="149" xfId="0" applyFont="1" applyFill="1" applyBorder="1" applyAlignment="1">
      <alignment horizontal="left" vertical="center"/>
    </xf>
    <xf numFmtId="0" fontId="11" fillId="10" borderId="150" xfId="0" applyFont="1" applyFill="1" applyBorder="1" applyAlignment="1">
      <alignment horizontal="left" vertical="center"/>
    </xf>
    <xf numFmtId="0" fontId="11" fillId="10" borderId="151" xfId="0" applyFont="1" applyFill="1" applyBorder="1" applyAlignment="1">
      <alignment horizontal="left" vertical="center"/>
    </xf>
    <xf numFmtId="0" fontId="11" fillId="10" borderId="152" xfId="0" applyFont="1" applyFill="1" applyBorder="1" applyAlignment="1">
      <alignment horizontal="left" vertical="center"/>
    </xf>
    <xf numFmtId="0" fontId="11" fillId="10" borderId="153" xfId="0" applyFont="1" applyFill="1" applyBorder="1" applyAlignment="1">
      <alignment horizontal="left" vertical="center"/>
    </xf>
    <xf numFmtId="0" fontId="12" fillId="10" borderId="25" xfId="0" applyFont="1" applyFill="1" applyBorder="1" applyAlignment="1">
      <alignment horizontal="left" vertical="center"/>
    </xf>
    <xf numFmtId="0" fontId="12" fillId="10" borderId="26" xfId="0" applyFont="1" applyFill="1" applyBorder="1" applyAlignment="1">
      <alignment horizontal="left" vertical="center"/>
    </xf>
    <xf numFmtId="0" fontId="12" fillId="10" borderId="27" xfId="0" applyFont="1" applyFill="1" applyBorder="1" applyAlignment="1">
      <alignment horizontal="left" vertical="center"/>
    </xf>
    <xf numFmtId="0" fontId="6" fillId="10" borderId="148" xfId="0" applyFont="1" applyFill="1" applyBorder="1" applyAlignment="1">
      <alignment horizontal="left" vertical="center"/>
    </xf>
    <xf numFmtId="0" fontId="6" fillId="10" borderId="149" xfId="0" applyFont="1" applyFill="1" applyBorder="1" applyAlignment="1">
      <alignment horizontal="left" vertical="center"/>
    </xf>
    <xf numFmtId="0" fontId="6" fillId="10" borderId="150" xfId="0" applyFont="1" applyFill="1" applyBorder="1" applyAlignment="1">
      <alignment horizontal="left" vertical="center"/>
    </xf>
    <xf numFmtId="0" fontId="6" fillId="10" borderId="151" xfId="0" applyFont="1" applyFill="1" applyBorder="1" applyAlignment="1">
      <alignment horizontal="left" vertical="center"/>
    </xf>
    <xf numFmtId="0" fontId="6" fillId="10" borderId="152" xfId="0" applyFont="1" applyFill="1" applyBorder="1" applyAlignment="1">
      <alignment horizontal="left" vertical="center"/>
    </xf>
    <xf numFmtId="0" fontId="6" fillId="10" borderId="153" xfId="0" applyFont="1" applyFill="1" applyBorder="1" applyAlignment="1">
      <alignment horizontal="left" vertical="center"/>
    </xf>
    <xf numFmtId="0" fontId="6" fillId="2" borderId="221" xfId="0" applyFont="1" applyFill="1" applyBorder="1" applyAlignment="1">
      <alignment horizontal="left" vertical="center"/>
    </xf>
    <xf numFmtId="0" fontId="6" fillId="2" borderId="222" xfId="0" applyFont="1" applyFill="1" applyBorder="1" applyAlignment="1">
      <alignment horizontal="left" vertical="center"/>
    </xf>
    <xf numFmtId="0" fontId="6" fillId="2" borderId="223" xfId="0" applyFont="1" applyFill="1" applyBorder="1" applyAlignment="1">
      <alignment horizontal="left" vertical="center"/>
    </xf>
    <xf numFmtId="0" fontId="6" fillId="13" borderId="224" xfId="0" applyFont="1" applyFill="1" applyBorder="1" applyAlignment="1">
      <alignment horizontal="left" vertical="center"/>
    </xf>
    <xf numFmtId="0" fontId="6" fillId="13" borderId="225" xfId="0" applyFont="1" applyFill="1" applyBorder="1" applyAlignment="1">
      <alignment horizontal="left" vertical="center"/>
    </xf>
    <xf numFmtId="0" fontId="6" fillId="13" borderId="226" xfId="0" applyFont="1" applyFill="1" applyBorder="1" applyAlignment="1">
      <alignment horizontal="left" vertical="center"/>
    </xf>
    <xf numFmtId="0" fontId="6" fillId="4" borderId="224" xfId="0" applyFont="1" applyFill="1" applyBorder="1" applyAlignment="1">
      <alignment horizontal="left" vertical="center"/>
    </xf>
    <xf numFmtId="0" fontId="6" fillId="4" borderId="225" xfId="0" applyFont="1" applyFill="1" applyBorder="1" applyAlignment="1">
      <alignment horizontal="left" vertical="center"/>
    </xf>
    <xf numFmtId="0" fontId="6" fillId="4" borderId="226" xfId="0" applyFont="1" applyFill="1" applyBorder="1" applyAlignment="1">
      <alignment horizontal="left" vertical="center"/>
    </xf>
    <xf numFmtId="0" fontId="3" fillId="14" borderId="25" xfId="0" applyFont="1" applyFill="1" applyBorder="1" applyAlignment="1">
      <alignment horizontal="left" vertical="center"/>
    </xf>
    <xf numFmtId="0" fontId="3" fillId="14" borderId="26" xfId="0" applyFont="1" applyFill="1" applyBorder="1" applyAlignment="1">
      <alignment horizontal="left" vertical="center"/>
    </xf>
    <xf numFmtId="0" fontId="3" fillId="14" borderId="27" xfId="0" applyFont="1" applyFill="1" applyBorder="1" applyAlignment="1">
      <alignment horizontal="left" vertical="center"/>
    </xf>
    <xf numFmtId="0" fontId="6" fillId="2" borderId="160" xfId="0" applyFont="1" applyFill="1" applyBorder="1" applyAlignment="1">
      <alignment horizontal="left" vertical="center"/>
    </xf>
    <xf numFmtId="0" fontId="6" fillId="2" borderId="161" xfId="0" applyFont="1" applyFill="1" applyBorder="1" applyAlignment="1">
      <alignment horizontal="left" vertical="center"/>
    </xf>
    <xf numFmtId="0" fontId="6" fillId="2" borderId="162" xfId="0" applyFont="1" applyFill="1" applyBorder="1" applyAlignment="1">
      <alignment horizontal="left" vertical="center"/>
    </xf>
    <xf numFmtId="0" fontId="0" fillId="14" borderId="85" xfId="0" applyFill="1" applyBorder="1" applyAlignment="1">
      <alignment horizontal="center"/>
    </xf>
    <xf numFmtId="0" fontId="0" fillId="14" borderId="86" xfId="0" applyFill="1" applyBorder="1" applyAlignment="1">
      <alignment horizontal="center"/>
    </xf>
    <xf numFmtId="0" fontId="0" fillId="14" borderId="87" xfId="0" applyFill="1" applyBorder="1" applyAlignment="1">
      <alignment horizontal="center"/>
    </xf>
    <xf numFmtId="0" fontId="0" fillId="14" borderId="82" xfId="0" applyFill="1" applyBorder="1" applyAlignment="1">
      <alignment horizontal="center"/>
    </xf>
    <xf numFmtId="0" fontId="0" fillId="14" borderId="83" xfId="0" applyFill="1" applyBorder="1" applyAlignment="1">
      <alignment horizontal="center"/>
    </xf>
    <xf numFmtId="0" fontId="0" fillId="14" borderId="84" xfId="0" applyFill="1" applyBorder="1" applyAlignment="1">
      <alignment horizontal="center"/>
    </xf>
    <xf numFmtId="0" fontId="18" fillId="2" borderId="132" xfId="0" applyFont="1" applyFill="1" applyBorder="1" applyAlignment="1">
      <alignment horizontal="center" vertical="center"/>
    </xf>
    <xf numFmtId="0" fontId="18" fillId="2" borderId="120" xfId="0" applyFont="1" applyFill="1" applyBorder="1" applyAlignment="1">
      <alignment horizontal="center" vertical="center"/>
    </xf>
    <xf numFmtId="0" fontId="18" fillId="2" borderId="133" xfId="0" applyFont="1" applyFill="1" applyBorder="1" applyAlignment="1">
      <alignment horizontal="center" vertical="center"/>
    </xf>
    <xf numFmtId="0" fontId="18" fillId="5" borderId="119" xfId="0" applyFont="1" applyFill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5" borderId="121" xfId="0" applyFont="1" applyFill="1" applyBorder="1" applyAlignment="1">
      <alignment horizontal="center" vertical="center"/>
    </xf>
    <xf numFmtId="0" fontId="0" fillId="2" borderId="79" xfId="0" applyFill="1" applyBorder="1" applyAlignment="1">
      <alignment horizontal="center"/>
    </xf>
    <xf numFmtId="0" fontId="0" fillId="2" borderId="80" xfId="0" applyFill="1" applyBorder="1" applyAlignment="1">
      <alignment horizontal="center"/>
    </xf>
    <xf numFmtId="0" fontId="0" fillId="2" borderId="81" xfId="0" applyFill="1" applyBorder="1" applyAlignment="1">
      <alignment horizontal="center"/>
    </xf>
    <xf numFmtId="0" fontId="0" fillId="5" borderId="72" xfId="0" applyFill="1" applyBorder="1" applyAlignment="1">
      <alignment horizontal="center"/>
    </xf>
    <xf numFmtId="0" fontId="0" fillId="5" borderId="70" xfId="0" applyFill="1" applyBorder="1" applyAlignment="1">
      <alignment horizontal="center"/>
    </xf>
    <xf numFmtId="0" fontId="3" fillId="10" borderId="25" xfId="0" applyFont="1" applyFill="1" applyBorder="1" applyAlignment="1">
      <alignment horizontal="left" vertical="center"/>
    </xf>
    <xf numFmtId="0" fontId="3" fillId="10" borderId="26" xfId="0" applyFont="1" applyFill="1" applyBorder="1" applyAlignment="1">
      <alignment horizontal="left" vertical="center"/>
    </xf>
    <xf numFmtId="0" fontId="3" fillId="10" borderId="27" xfId="0" applyFont="1" applyFill="1" applyBorder="1" applyAlignment="1">
      <alignment horizontal="left" vertical="center"/>
    </xf>
    <xf numFmtId="0" fontId="7" fillId="10" borderId="25" xfId="0" applyFont="1" applyFill="1" applyBorder="1" applyAlignment="1">
      <alignment horizontal="left" vertical="center" wrapText="1"/>
    </xf>
    <xf numFmtId="0" fontId="7" fillId="10" borderId="26" xfId="0" applyFont="1" applyFill="1" applyBorder="1" applyAlignment="1">
      <alignment horizontal="left" vertical="center" wrapText="1"/>
    </xf>
    <xf numFmtId="0" fontId="7" fillId="10" borderId="27" xfId="0" applyFont="1" applyFill="1" applyBorder="1" applyAlignment="1">
      <alignment horizontal="left" vertical="center" wrapText="1"/>
    </xf>
    <xf numFmtId="0" fontId="18" fillId="14" borderId="122" xfId="0" applyFont="1" applyFill="1" applyBorder="1" applyAlignment="1">
      <alignment horizontal="center" vertical="center"/>
    </xf>
    <xf numFmtId="0" fontId="18" fillId="14" borderId="123" xfId="0" applyFont="1" applyFill="1" applyBorder="1" applyAlignment="1">
      <alignment horizontal="center" vertical="center"/>
    </xf>
    <xf numFmtId="0" fontId="18" fillId="14" borderId="124" xfId="0" applyFont="1" applyFill="1" applyBorder="1" applyAlignment="1">
      <alignment horizontal="center" vertical="center"/>
    </xf>
    <xf numFmtId="0" fontId="0" fillId="14" borderId="127" xfId="0" applyFill="1" applyBorder="1" applyAlignment="1">
      <alignment horizontal="center"/>
    </xf>
    <xf numFmtId="0" fontId="0" fillId="14" borderId="128" xfId="0" applyFill="1" applyBorder="1" applyAlignment="1">
      <alignment horizontal="center"/>
    </xf>
    <xf numFmtId="0" fontId="0" fillId="14" borderId="129" xfId="0" applyFill="1" applyBorder="1" applyAlignment="1">
      <alignment horizontal="center"/>
    </xf>
    <xf numFmtId="0" fontId="0" fillId="5" borderId="82" xfId="0" applyFill="1" applyBorder="1" applyAlignment="1">
      <alignment horizontal="center"/>
    </xf>
    <xf numFmtId="0" fontId="0" fillId="5" borderId="83" xfId="0" applyFill="1" applyBorder="1" applyAlignment="1">
      <alignment horizontal="center"/>
    </xf>
    <xf numFmtId="0" fontId="0" fillId="5" borderId="84" xfId="0" applyFill="1" applyBorder="1" applyAlignment="1">
      <alignment horizontal="center"/>
    </xf>
    <xf numFmtId="0" fontId="0" fillId="4" borderId="127" xfId="0" applyFill="1" applyBorder="1" applyAlignment="1">
      <alignment horizontal="center"/>
    </xf>
    <xf numFmtId="0" fontId="0" fillId="4" borderId="128" xfId="0" applyFill="1" applyBorder="1" applyAlignment="1">
      <alignment horizontal="center"/>
    </xf>
    <xf numFmtId="0" fontId="0" fillId="4" borderId="129" xfId="0" applyFill="1" applyBorder="1" applyAlignment="1">
      <alignment horizontal="center"/>
    </xf>
    <xf numFmtId="0" fontId="0" fillId="2" borderId="89" xfId="0" applyFill="1" applyBorder="1" applyAlignment="1">
      <alignment horizontal="center" vertical="center" textRotation="90" wrapText="1"/>
    </xf>
    <xf numFmtId="0" fontId="0" fillId="2" borderId="90" xfId="0" applyFill="1" applyBorder="1" applyAlignment="1">
      <alignment horizontal="center" vertical="center" textRotation="90" wrapText="1"/>
    </xf>
    <xf numFmtId="0" fontId="0" fillId="2" borderId="91" xfId="0" applyFill="1" applyBorder="1" applyAlignment="1">
      <alignment horizontal="center" vertical="center" textRotation="90" wrapText="1"/>
    </xf>
    <xf numFmtId="0" fontId="0" fillId="5" borderId="91" xfId="0" applyFill="1" applyBorder="1" applyAlignment="1">
      <alignment horizontal="center" vertical="center" textRotation="90" wrapText="1"/>
    </xf>
    <xf numFmtId="0" fontId="0" fillId="5" borderId="89" xfId="0" applyFill="1" applyBorder="1" applyAlignment="1">
      <alignment horizontal="center" vertical="center" textRotation="90" wrapText="1"/>
    </xf>
    <xf numFmtId="0" fontId="0" fillId="5" borderId="90" xfId="0" applyFill="1" applyBorder="1" applyAlignment="1">
      <alignment horizontal="center" vertical="center" textRotation="90" wrapText="1"/>
    </xf>
    <xf numFmtId="0" fontId="0" fillId="4" borderId="91" xfId="0" applyFill="1" applyBorder="1" applyAlignment="1">
      <alignment horizontal="center" vertical="center" textRotation="90" wrapText="1"/>
    </xf>
    <xf numFmtId="0" fontId="0" fillId="4" borderId="89" xfId="0" applyFill="1" applyBorder="1" applyAlignment="1">
      <alignment horizontal="center" vertical="center" textRotation="90" wrapText="1"/>
    </xf>
    <xf numFmtId="0" fontId="0" fillId="4" borderId="90" xfId="0" applyFill="1" applyBorder="1" applyAlignment="1">
      <alignment horizontal="center" vertical="center" textRotation="90" wrapText="1"/>
    </xf>
    <xf numFmtId="0" fontId="0" fillId="4" borderId="92" xfId="0" applyFill="1" applyBorder="1" applyAlignment="1">
      <alignment horizontal="center" vertical="center" textRotation="90" wrapText="1"/>
    </xf>
    <xf numFmtId="0" fontId="0" fillId="2" borderId="247" xfId="0" applyFill="1" applyBorder="1" applyAlignment="1">
      <alignment horizontal="left"/>
    </xf>
    <xf numFmtId="0" fontId="0" fillId="2" borderId="248" xfId="0" applyFill="1" applyBorder="1" applyAlignment="1">
      <alignment horizontal="left"/>
    </xf>
    <xf numFmtId="0" fontId="0" fillId="13" borderId="249" xfId="0" applyFill="1" applyBorder="1" applyAlignment="1">
      <alignment horizontal="left"/>
    </xf>
    <xf numFmtId="0" fontId="0" fillId="13" borderId="250" xfId="0" applyFill="1" applyBorder="1" applyAlignment="1">
      <alignment horizontal="left"/>
    </xf>
    <xf numFmtId="0" fontId="0" fillId="4" borderId="249" xfId="0" applyFill="1" applyBorder="1" applyAlignment="1">
      <alignment horizontal="left"/>
    </xf>
    <xf numFmtId="0" fontId="0" fillId="4" borderId="250" xfId="0" applyFill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6" fillId="0" borderId="136" xfId="0" applyFont="1" applyBorder="1" applyAlignment="1">
      <alignment horizontal="left" vertical="center"/>
    </xf>
    <xf numFmtId="0" fontId="6" fillId="0" borderId="137" xfId="0" applyFont="1" applyBorder="1" applyAlignment="1">
      <alignment horizontal="left" vertical="center"/>
    </xf>
    <xf numFmtId="0" fontId="6" fillId="0" borderId="138" xfId="0" applyFont="1" applyBorder="1" applyAlignment="1">
      <alignment horizontal="left" vertical="center"/>
    </xf>
    <xf numFmtId="0" fontId="7" fillId="0" borderId="145" xfId="0" applyFont="1" applyBorder="1" applyAlignment="1">
      <alignment horizontal="left" vertical="center" wrapText="1"/>
    </xf>
    <xf numFmtId="0" fontId="7" fillId="0" borderId="146" xfId="0" applyFont="1" applyBorder="1" applyAlignment="1">
      <alignment horizontal="left" vertical="center" wrapText="1"/>
    </xf>
    <xf numFmtId="0" fontId="7" fillId="0" borderId="147" xfId="0" applyFont="1" applyBorder="1" applyAlignment="1">
      <alignment horizontal="left" vertical="center" wrapText="1"/>
    </xf>
    <xf numFmtId="0" fontId="18" fillId="4" borderId="134" xfId="0" applyFont="1" applyFill="1" applyBorder="1" applyAlignment="1">
      <alignment horizontal="center" vertical="center"/>
    </xf>
    <xf numFmtId="0" fontId="18" fillId="4" borderId="48" xfId="0" applyFont="1" applyFill="1" applyBorder="1" applyAlignment="1">
      <alignment horizontal="center" vertical="center"/>
    </xf>
    <xf numFmtId="0" fontId="18" fillId="4" borderId="49" xfId="0" applyFont="1" applyFill="1" applyBorder="1" applyAlignment="1">
      <alignment horizontal="center" vertical="center"/>
    </xf>
    <xf numFmtId="0" fontId="13" fillId="10" borderId="122" xfId="0" applyFont="1" applyFill="1" applyBorder="1" applyAlignment="1">
      <alignment horizontal="center" vertical="center"/>
    </xf>
    <xf numFmtId="0" fontId="13" fillId="10" borderId="123" xfId="0" applyFont="1" applyFill="1" applyBorder="1" applyAlignment="1">
      <alignment horizontal="center" vertical="center"/>
    </xf>
    <xf numFmtId="0" fontId="13" fillId="10" borderId="124" xfId="0" applyFont="1" applyFill="1" applyBorder="1" applyAlignment="1">
      <alignment horizontal="center" vertical="center"/>
    </xf>
    <xf numFmtId="0" fontId="0" fillId="2" borderId="112" xfId="0" applyFill="1" applyBorder="1" applyAlignment="1">
      <alignment horizontal="center" vertical="center"/>
    </xf>
    <xf numFmtId="0" fontId="0" fillId="2" borderId="113" xfId="0" applyFill="1" applyBorder="1" applyAlignment="1">
      <alignment horizontal="center" vertical="center"/>
    </xf>
    <xf numFmtId="0" fontId="0" fillId="13" borderId="110" xfId="0" applyFill="1" applyBorder="1" applyAlignment="1">
      <alignment horizontal="center" vertical="center"/>
    </xf>
    <xf numFmtId="0" fontId="0" fillId="13" borderId="111" xfId="0" applyFill="1" applyBorder="1" applyAlignment="1">
      <alignment horizontal="center" vertical="center"/>
    </xf>
    <xf numFmtId="165" fontId="1" fillId="9" borderId="236" xfId="1" applyNumberFormat="1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 textRotation="90" wrapText="1"/>
    </xf>
    <xf numFmtId="0" fontId="0" fillId="4" borderId="23" xfId="0" applyFill="1" applyBorder="1" applyAlignment="1">
      <alignment horizontal="center" vertical="center" textRotation="90" wrapText="1"/>
    </xf>
    <xf numFmtId="0" fontId="0" fillId="2" borderId="110" xfId="0" applyFill="1" applyBorder="1" applyAlignment="1">
      <alignment horizontal="center" vertical="center"/>
    </xf>
    <xf numFmtId="0" fontId="0" fillId="2" borderId="111" xfId="0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6" fillId="0" borderId="139" xfId="0" applyFont="1" applyBorder="1" applyAlignment="1">
      <alignment horizontal="left" vertical="center"/>
    </xf>
    <xf numFmtId="0" fontId="6" fillId="0" borderId="140" xfId="0" applyFont="1" applyBorder="1" applyAlignment="1">
      <alignment horizontal="left" vertical="center"/>
    </xf>
    <xf numFmtId="0" fontId="6" fillId="0" borderId="141" xfId="0" applyFont="1" applyBorder="1" applyAlignment="1">
      <alignment horizontal="left" vertical="center"/>
    </xf>
    <xf numFmtId="0" fontId="20" fillId="16" borderId="37" xfId="0" applyFont="1" applyFill="1" applyBorder="1" applyAlignment="1">
      <alignment horizontal="center" vertical="center" textRotation="90"/>
    </xf>
    <xf numFmtId="0" fontId="20" fillId="16" borderId="33" xfId="0" applyFont="1" applyFill="1" applyBorder="1" applyAlignment="1">
      <alignment horizontal="center" vertical="center" textRotation="90"/>
    </xf>
    <xf numFmtId="0" fontId="20" fillId="16" borderId="28" xfId="0" applyFont="1" applyFill="1" applyBorder="1" applyAlignment="1">
      <alignment horizontal="center" vertical="center" textRotation="90"/>
    </xf>
    <xf numFmtId="0" fontId="0" fillId="13" borderId="22" xfId="0" applyFill="1" applyBorder="1" applyAlignment="1">
      <alignment horizontal="center" vertical="center" textRotation="90" wrapText="1"/>
    </xf>
    <xf numFmtId="0" fontId="0" fillId="13" borderId="23" xfId="0" applyFill="1" applyBorder="1" applyAlignment="1">
      <alignment horizontal="center" vertical="center" textRotation="90" wrapText="1"/>
    </xf>
    <xf numFmtId="0" fontId="18" fillId="2" borderId="116" xfId="0" applyFont="1" applyFill="1" applyBorder="1" applyAlignment="1">
      <alignment horizontal="center" vertical="center"/>
    </xf>
    <xf numFmtId="0" fontId="18" fillId="2" borderId="117" xfId="0" applyFont="1" applyFill="1" applyBorder="1" applyAlignment="1">
      <alignment horizontal="center" vertical="center"/>
    </xf>
    <xf numFmtId="0" fontId="18" fillId="2" borderId="118" xfId="0" applyFont="1" applyFill="1" applyBorder="1" applyAlignment="1">
      <alignment horizontal="center" vertical="center"/>
    </xf>
    <xf numFmtId="0" fontId="18" fillId="4" borderId="119" xfId="0" applyFont="1" applyFill="1" applyBorder="1" applyAlignment="1">
      <alignment horizontal="center" vertical="center"/>
    </xf>
    <xf numFmtId="0" fontId="18" fillId="4" borderId="120" xfId="0" applyFont="1" applyFill="1" applyBorder="1" applyAlignment="1">
      <alignment horizontal="center" vertical="center"/>
    </xf>
    <xf numFmtId="0" fontId="18" fillId="4" borderId="121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 textRotation="90"/>
    </xf>
    <xf numFmtId="0" fontId="1" fillId="10" borderId="33" xfId="0" applyFont="1" applyFill="1" applyBorder="1" applyAlignment="1">
      <alignment horizontal="center" vertical="center" textRotation="90"/>
    </xf>
    <xf numFmtId="0" fontId="1" fillId="10" borderId="28" xfId="0" applyFont="1" applyFill="1" applyBorder="1" applyAlignment="1">
      <alignment horizontal="center" vertical="center" textRotation="90"/>
    </xf>
    <xf numFmtId="0" fontId="0" fillId="2" borderId="21" xfId="0" applyFill="1" applyBorder="1" applyAlignment="1">
      <alignment horizontal="center" vertical="center" textRotation="90" wrapText="1"/>
    </xf>
    <xf numFmtId="0" fontId="0" fillId="2" borderId="21" xfId="0" applyFill="1" applyBorder="1" applyAlignment="1">
      <alignment horizontal="center" vertical="center" textRotation="90"/>
    </xf>
    <xf numFmtId="0" fontId="20" fillId="15" borderId="88" xfId="0" applyFont="1" applyFill="1" applyBorder="1" applyAlignment="1">
      <alignment horizontal="center" vertical="center" textRotation="90"/>
    </xf>
    <xf numFmtId="0" fontId="20" fillId="15" borderId="135" xfId="0" applyFont="1" applyFill="1" applyBorder="1" applyAlignment="1">
      <alignment horizontal="center" vertical="center" textRotation="90"/>
    </xf>
    <xf numFmtId="0" fontId="14" fillId="7" borderId="15" xfId="0" applyFont="1" applyFill="1" applyBorder="1" applyAlignment="1">
      <alignment horizontal="center"/>
    </xf>
    <xf numFmtId="0" fontId="14" fillId="7" borderId="16" xfId="0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172" xfId="0" applyFill="1" applyBorder="1" applyAlignment="1">
      <alignment horizontal="center"/>
    </xf>
    <xf numFmtId="0" fontId="0" fillId="7" borderId="168" xfId="0" applyFill="1" applyBorder="1" applyAlignment="1">
      <alignment horizontal="center"/>
    </xf>
    <xf numFmtId="0" fontId="0" fillId="7" borderId="173" xfId="0" applyFill="1" applyBorder="1" applyAlignment="1">
      <alignment horizontal="center"/>
    </xf>
    <xf numFmtId="0" fontId="4" fillId="14" borderId="157" xfId="0" applyFont="1" applyFill="1" applyBorder="1" applyAlignment="1">
      <alignment horizontal="left" vertical="center"/>
    </xf>
    <xf numFmtId="0" fontId="4" fillId="14" borderId="158" xfId="0" applyFont="1" applyFill="1" applyBorder="1" applyAlignment="1">
      <alignment horizontal="left" vertical="center"/>
    </xf>
    <xf numFmtId="0" fontId="4" fillId="14" borderId="159" xfId="0" applyFont="1" applyFill="1" applyBorder="1" applyAlignment="1">
      <alignment horizontal="left" vertical="center"/>
    </xf>
    <xf numFmtId="3" fontId="4" fillId="14" borderId="157" xfId="0" applyNumberFormat="1" applyFont="1" applyFill="1" applyBorder="1" applyAlignment="1">
      <alignment horizontal="left" vertical="center"/>
    </xf>
    <xf numFmtId="3" fontId="4" fillId="14" borderId="158" xfId="0" applyNumberFormat="1" applyFont="1" applyFill="1" applyBorder="1" applyAlignment="1">
      <alignment horizontal="left" vertical="center"/>
    </xf>
    <xf numFmtId="3" fontId="4" fillId="14" borderId="159" xfId="0" applyNumberFormat="1" applyFont="1" applyFill="1" applyBorder="1" applyAlignment="1">
      <alignment horizontal="left" vertical="center"/>
    </xf>
    <xf numFmtId="0" fontId="0" fillId="8" borderId="39" xfId="0" applyFill="1" applyBorder="1" applyAlignment="1">
      <alignment horizontal="center" vertical="center" wrapText="1"/>
    </xf>
    <xf numFmtId="0" fontId="0" fillId="8" borderId="32" xfId="0" applyFill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left" vertical="center" wrapText="1"/>
    </xf>
    <xf numFmtId="0" fontId="0" fillId="8" borderId="26" xfId="0" applyFill="1" applyBorder="1" applyAlignment="1">
      <alignment horizontal="left" vertical="center" wrapText="1"/>
    </xf>
    <xf numFmtId="0" fontId="0" fillId="8" borderId="27" xfId="0" applyFill="1" applyBorder="1" applyAlignment="1">
      <alignment horizontal="left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26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0" fillId="8" borderId="38" xfId="0" applyFill="1" applyBorder="1" applyAlignment="1">
      <alignment horizontal="left" vertical="center" wrapText="1"/>
    </xf>
    <xf numFmtId="0" fontId="0" fillId="8" borderId="34" xfId="0" applyFill="1" applyBorder="1" applyAlignment="1">
      <alignment horizontal="left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30" xfId="0" applyFill="1" applyBorder="1" applyAlignment="1">
      <alignment horizontal="center" vertical="center" wrapText="1"/>
    </xf>
    <xf numFmtId="0" fontId="0" fillId="8" borderId="37" xfId="0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wrapText="1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23" fillId="10" borderId="25" xfId="0" applyFont="1" applyFill="1" applyBorder="1" applyAlignment="1">
      <alignment horizontal="center" vertical="center"/>
    </xf>
    <xf numFmtId="0" fontId="23" fillId="10" borderId="26" xfId="0" applyFont="1" applyFill="1" applyBorder="1" applyAlignment="1">
      <alignment horizontal="center" vertical="center"/>
    </xf>
    <xf numFmtId="0" fontId="23" fillId="10" borderId="27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79DCFF"/>
      <color rgb="FFFFCCFF"/>
      <color rgb="FFFFFF00"/>
      <color rgb="FF66FFFF"/>
      <color rgb="FF99FF99"/>
      <color rgb="FFCCFFCC"/>
      <color rgb="FFCCFFFF"/>
      <color rgb="FFFF9999"/>
      <color rgb="FFFF7C80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E139-D060-4107-9457-80794409DFCA}">
  <dimension ref="B5:BR346"/>
  <sheetViews>
    <sheetView tabSelected="1" view="pageBreakPreview" topLeftCell="A12" zoomScale="40" zoomScaleNormal="55" zoomScaleSheetLayoutView="40" workbookViewId="0">
      <pane xSplit="10" ySplit="4" topLeftCell="K254" activePane="bottomRight" state="frozen"/>
      <selection activeCell="A12" sqref="A12"/>
      <selection pane="topRight" activeCell="K12" sqref="K12"/>
      <selection pane="bottomLeft" activeCell="A16" sqref="A16"/>
      <selection pane="bottomRight" activeCell="AD203" sqref="AD203"/>
    </sheetView>
  </sheetViews>
  <sheetFormatPr defaultRowHeight="14" x14ac:dyDescent="0.3"/>
  <cols>
    <col min="1" max="1" width="1.9140625" customWidth="1"/>
    <col min="2" max="2" width="3.33203125" customWidth="1"/>
    <col min="3" max="3" width="5.83203125" customWidth="1"/>
    <col min="4" max="4" width="13.58203125" customWidth="1"/>
    <col min="5" max="5" width="6.75" customWidth="1"/>
    <col min="6" max="6" width="6.75" style="1" customWidth="1"/>
    <col min="7" max="7" width="7" style="1" customWidth="1"/>
    <col min="8" max="8" width="8.25" style="1" bestFit="1" customWidth="1"/>
    <col min="9" max="10" width="5.83203125" style="1" customWidth="1"/>
    <col min="11" max="11" width="7.6640625" style="1" bestFit="1" customWidth="1"/>
    <col min="12" max="12" width="8.33203125" bestFit="1" customWidth="1"/>
    <col min="13" max="13" width="7.83203125" bestFit="1" customWidth="1"/>
    <col min="14" max="14" width="7.75" customWidth="1"/>
    <col min="15" max="15" width="8.75" bestFit="1" customWidth="1"/>
    <col min="16" max="16" width="8.33203125" bestFit="1" customWidth="1"/>
    <col min="17" max="17" width="7.83203125" bestFit="1" customWidth="1"/>
    <col min="18" max="18" width="7.75" customWidth="1"/>
    <col min="19" max="19" width="8.75" bestFit="1" customWidth="1"/>
    <col min="20" max="20" width="8.33203125" bestFit="1" customWidth="1"/>
    <col min="21" max="21" width="7.83203125" bestFit="1" customWidth="1"/>
    <col min="22" max="22" width="7.75" customWidth="1"/>
    <col min="23" max="23" width="8.75" bestFit="1" customWidth="1"/>
    <col min="24" max="24" width="8.33203125" bestFit="1" customWidth="1"/>
    <col min="25" max="25" width="7.83203125" bestFit="1" customWidth="1"/>
    <col min="26" max="26" width="7.75" customWidth="1"/>
    <col min="27" max="27" width="7.6640625" bestFit="1" customWidth="1"/>
    <col min="28" max="28" width="8.33203125" bestFit="1" customWidth="1"/>
    <col min="29" max="29" width="9.4140625" bestFit="1" customWidth="1"/>
    <col min="30" max="30" width="7.75" customWidth="1"/>
    <col min="31" max="31" width="7.6640625" bestFit="1" customWidth="1"/>
    <col min="32" max="32" width="8.33203125" bestFit="1" customWidth="1"/>
    <col min="33" max="33" width="7.83203125" bestFit="1" customWidth="1"/>
    <col min="34" max="34" width="7.75" customWidth="1"/>
    <col min="35" max="35" width="8.25" bestFit="1" customWidth="1"/>
    <col min="36" max="36" width="8.33203125" bestFit="1" customWidth="1"/>
    <col min="37" max="37" width="7.83203125" bestFit="1" customWidth="1"/>
    <col min="38" max="38" width="7.75" customWidth="1"/>
    <col min="39" max="39" width="7.6640625" bestFit="1" customWidth="1"/>
    <col min="40" max="40" width="8.33203125" bestFit="1" customWidth="1"/>
    <col min="41" max="41" width="7.83203125" bestFit="1" customWidth="1"/>
    <col min="42" max="42" width="7.75" customWidth="1"/>
    <col min="43" max="43" width="7.6640625" bestFit="1" customWidth="1"/>
    <col min="44" max="44" width="8.33203125" bestFit="1" customWidth="1"/>
    <col min="45" max="45" width="7.83203125" bestFit="1" customWidth="1"/>
    <col min="46" max="46" width="7.75" customWidth="1"/>
    <col min="47" max="47" width="7.6640625" bestFit="1" customWidth="1"/>
    <col min="48" max="48" width="8.33203125" bestFit="1" customWidth="1"/>
    <col min="49" max="49" width="7.83203125" bestFit="1" customWidth="1"/>
    <col min="50" max="50" width="7.75" customWidth="1"/>
    <col min="51" max="51" width="7.6640625" bestFit="1" customWidth="1"/>
    <col min="52" max="52" width="8.33203125" bestFit="1" customWidth="1"/>
    <col min="53" max="54" width="7.9140625" customWidth="1"/>
    <col min="55" max="55" width="7.6640625" bestFit="1" customWidth="1"/>
    <col min="56" max="56" width="8.33203125" bestFit="1" customWidth="1"/>
    <col min="57" max="57" width="7.75" bestFit="1" customWidth="1"/>
    <col min="58" max="58" width="7.6640625" customWidth="1"/>
    <col min="59" max="59" width="6.33203125" bestFit="1" customWidth="1"/>
    <col min="61" max="61" width="8.75" bestFit="1" customWidth="1"/>
    <col min="62" max="62" width="22.33203125" bestFit="1" customWidth="1"/>
    <col min="63" max="63" width="9.25" bestFit="1" customWidth="1"/>
  </cols>
  <sheetData>
    <row r="5" spans="2:70" ht="87.5" x14ac:dyDescent="1.55">
      <c r="C5" s="812" t="s">
        <v>29</v>
      </c>
      <c r="D5" s="812"/>
      <c r="E5" s="812"/>
      <c r="F5" s="812"/>
      <c r="G5" s="812"/>
      <c r="H5" s="812"/>
      <c r="I5" s="812"/>
      <c r="J5" s="812"/>
      <c r="K5" s="812"/>
      <c r="L5" s="812"/>
      <c r="M5" s="812"/>
      <c r="N5" s="812"/>
      <c r="O5" s="812"/>
      <c r="P5" s="812"/>
      <c r="Q5" s="812"/>
      <c r="R5" s="812"/>
      <c r="S5" s="812"/>
      <c r="T5" s="812"/>
      <c r="U5" s="812"/>
      <c r="V5" s="812"/>
      <c r="W5" s="812"/>
      <c r="X5" s="812"/>
      <c r="Y5" s="812"/>
      <c r="Z5" s="812"/>
      <c r="AA5" s="812"/>
      <c r="AB5" s="812"/>
      <c r="AC5" s="812"/>
      <c r="AD5" s="812"/>
      <c r="AE5" s="812"/>
      <c r="AF5" s="812"/>
      <c r="AG5" s="812"/>
      <c r="AH5" s="812"/>
      <c r="AI5" s="812"/>
      <c r="AJ5" s="812"/>
      <c r="AK5" s="812"/>
      <c r="AL5" s="812"/>
      <c r="AM5" s="812"/>
      <c r="AN5" s="812"/>
      <c r="AO5" s="812"/>
      <c r="AP5" s="812"/>
      <c r="AQ5" s="812"/>
      <c r="AR5" s="812"/>
      <c r="AS5" s="812"/>
      <c r="AT5" s="812"/>
      <c r="AU5" s="812"/>
      <c r="AV5" s="812"/>
      <c r="AW5" s="812"/>
      <c r="AX5" s="812"/>
      <c r="AY5" s="812"/>
      <c r="AZ5" s="812"/>
      <c r="BA5" s="812"/>
      <c r="BB5" s="812"/>
      <c r="BC5" s="812"/>
      <c r="BD5" s="812"/>
      <c r="BE5" s="812"/>
      <c r="BF5" s="812"/>
      <c r="BG5" s="812"/>
    </row>
    <row r="7" spans="2:70" ht="58.5" x14ac:dyDescent="1.05">
      <c r="C7" s="732" t="s">
        <v>329</v>
      </c>
      <c r="D7" s="732"/>
      <c r="E7" s="732"/>
      <c r="F7" s="732"/>
      <c r="G7" s="732"/>
      <c r="H7" s="732"/>
      <c r="I7" s="732"/>
      <c r="J7" s="732"/>
      <c r="K7" s="732"/>
      <c r="L7" s="732"/>
      <c r="M7" s="732"/>
      <c r="N7" s="732"/>
      <c r="O7" s="732"/>
      <c r="P7" s="732"/>
      <c r="Q7" s="732"/>
      <c r="R7" s="732"/>
      <c r="S7" s="732"/>
      <c r="T7" s="732"/>
      <c r="U7" s="732"/>
      <c r="V7" s="732"/>
      <c r="W7" s="732"/>
      <c r="X7" s="732"/>
      <c r="Y7" s="732"/>
      <c r="Z7" s="732"/>
      <c r="AA7" s="732"/>
      <c r="AB7" s="732"/>
      <c r="AC7" s="732"/>
      <c r="AD7" s="732"/>
      <c r="AE7" s="732"/>
      <c r="AF7" s="732"/>
      <c r="AG7" s="732"/>
      <c r="AH7" s="732"/>
      <c r="AI7" s="732"/>
      <c r="AJ7" s="732"/>
      <c r="AK7" s="732"/>
      <c r="AL7" s="732"/>
      <c r="AM7" s="732"/>
      <c r="AN7" s="732"/>
      <c r="AO7" s="732"/>
      <c r="AP7" s="732"/>
      <c r="AQ7" s="732"/>
      <c r="AR7" s="732"/>
      <c r="AS7" s="732"/>
      <c r="AT7" s="732"/>
      <c r="AU7" s="732"/>
      <c r="AV7" s="732"/>
      <c r="AW7" s="732"/>
      <c r="AX7" s="732"/>
      <c r="AY7" s="732"/>
      <c r="AZ7" s="732"/>
      <c r="BA7" s="732"/>
      <c r="BB7" s="732"/>
      <c r="BC7" s="732"/>
      <c r="BD7" s="732"/>
      <c r="BE7" s="732"/>
      <c r="BF7" s="732"/>
      <c r="BG7" s="732"/>
    </row>
    <row r="8" spans="2:70" ht="29.5" x14ac:dyDescent="0.55000000000000004"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</row>
    <row r="12" spans="2:70" ht="18" thickBot="1" x14ac:dyDescent="0.4">
      <c r="B12" s="1"/>
      <c r="C12" s="1"/>
      <c r="D12" s="1"/>
      <c r="E12" s="1"/>
      <c r="K12" s="763" t="s">
        <v>28</v>
      </c>
      <c r="L12" s="764"/>
      <c r="M12" s="764"/>
      <c r="N12" s="764"/>
      <c r="O12" s="764"/>
      <c r="P12" s="764"/>
      <c r="Q12" s="764"/>
      <c r="R12" s="764"/>
      <c r="S12" s="764"/>
      <c r="T12" s="764"/>
      <c r="U12" s="764"/>
      <c r="V12" s="764"/>
      <c r="W12" s="764"/>
      <c r="X12" s="764"/>
      <c r="Y12" s="764"/>
      <c r="Z12" s="764"/>
      <c r="AA12" s="764"/>
      <c r="AB12" s="764"/>
      <c r="AC12" s="764"/>
      <c r="AD12" s="764"/>
      <c r="AE12" s="764"/>
      <c r="AF12" s="764"/>
      <c r="AG12" s="764"/>
      <c r="AH12" s="764"/>
      <c r="AI12" s="764"/>
      <c r="AJ12" s="764"/>
      <c r="AK12" s="764"/>
      <c r="AL12" s="764"/>
      <c r="AM12" s="764"/>
      <c r="AN12" s="764"/>
      <c r="AO12" s="764"/>
      <c r="AP12" s="764"/>
      <c r="AQ12" s="764"/>
      <c r="AR12" s="764"/>
      <c r="AS12" s="764"/>
      <c r="AT12" s="764"/>
      <c r="AU12" s="764"/>
      <c r="AV12" s="764"/>
      <c r="AW12" s="764"/>
      <c r="AX12" s="764"/>
      <c r="AY12" s="764"/>
      <c r="AZ12" s="764"/>
      <c r="BA12" s="764"/>
      <c r="BB12" s="764"/>
      <c r="BC12" s="764"/>
      <c r="BD12" s="764"/>
      <c r="BE12" s="764"/>
      <c r="BF12" s="764"/>
    </row>
    <row r="13" spans="2:70" x14ac:dyDescent="0.3">
      <c r="B13" s="1"/>
      <c r="C13" s="1"/>
      <c r="D13" s="1"/>
      <c r="E13" s="1"/>
      <c r="K13" s="765" t="s">
        <v>0</v>
      </c>
      <c r="L13" s="766"/>
      <c r="M13" s="766"/>
      <c r="N13" s="767"/>
      <c r="O13" s="765" t="s">
        <v>1</v>
      </c>
      <c r="P13" s="766"/>
      <c r="Q13" s="766"/>
      <c r="R13" s="767"/>
      <c r="S13" s="765" t="s">
        <v>2</v>
      </c>
      <c r="T13" s="766"/>
      <c r="U13" s="766"/>
      <c r="V13" s="767"/>
      <c r="W13" s="765" t="s">
        <v>3</v>
      </c>
      <c r="X13" s="766"/>
      <c r="Y13" s="766"/>
      <c r="Z13" s="767"/>
      <c r="AA13" s="765" t="s">
        <v>4</v>
      </c>
      <c r="AB13" s="766"/>
      <c r="AC13" s="766"/>
      <c r="AD13" s="767"/>
      <c r="AE13" s="765" t="s">
        <v>5</v>
      </c>
      <c r="AF13" s="766"/>
      <c r="AG13" s="766"/>
      <c r="AH13" s="767"/>
      <c r="AI13" s="765" t="s">
        <v>6</v>
      </c>
      <c r="AJ13" s="766"/>
      <c r="AK13" s="766"/>
      <c r="AL13" s="767"/>
      <c r="AM13" s="765" t="s">
        <v>7</v>
      </c>
      <c r="AN13" s="766"/>
      <c r="AO13" s="766"/>
      <c r="AP13" s="767"/>
      <c r="AQ13" s="765" t="s">
        <v>8</v>
      </c>
      <c r="AR13" s="766"/>
      <c r="AS13" s="766"/>
      <c r="AT13" s="767"/>
      <c r="AU13" s="765" t="s">
        <v>9</v>
      </c>
      <c r="AV13" s="766"/>
      <c r="AW13" s="766"/>
      <c r="AX13" s="767"/>
      <c r="AY13" s="765" t="s">
        <v>10</v>
      </c>
      <c r="AZ13" s="766"/>
      <c r="BA13" s="766"/>
      <c r="BB13" s="767"/>
      <c r="BC13" s="765" t="s">
        <v>11</v>
      </c>
      <c r="BD13" s="766"/>
      <c r="BE13" s="766"/>
      <c r="BF13" s="767"/>
    </row>
    <row r="14" spans="2:70" ht="14.5" thickBot="1" x14ac:dyDescent="0.35">
      <c r="B14" s="1"/>
      <c r="C14" s="1"/>
      <c r="D14" s="1"/>
      <c r="E14" s="1"/>
      <c r="K14" s="760" t="s">
        <v>317</v>
      </c>
      <c r="L14" s="761"/>
      <c r="M14" s="761"/>
      <c r="N14" s="762"/>
      <c r="O14" s="760" t="s">
        <v>318</v>
      </c>
      <c r="P14" s="761"/>
      <c r="Q14" s="761"/>
      <c r="R14" s="762"/>
      <c r="S14" s="760" t="s">
        <v>319</v>
      </c>
      <c r="T14" s="761"/>
      <c r="U14" s="761"/>
      <c r="V14" s="762"/>
      <c r="W14" s="760" t="s">
        <v>320</v>
      </c>
      <c r="X14" s="761"/>
      <c r="Y14" s="761"/>
      <c r="Z14" s="762"/>
      <c r="AA14" s="760" t="s">
        <v>321</v>
      </c>
      <c r="AB14" s="761"/>
      <c r="AC14" s="761"/>
      <c r="AD14" s="762"/>
      <c r="AE14" s="760" t="s">
        <v>322</v>
      </c>
      <c r="AF14" s="761"/>
      <c r="AG14" s="761"/>
      <c r="AH14" s="762"/>
      <c r="AI14" s="760" t="s">
        <v>323</v>
      </c>
      <c r="AJ14" s="761"/>
      <c r="AK14" s="761"/>
      <c r="AL14" s="762"/>
      <c r="AM14" s="760" t="s">
        <v>324</v>
      </c>
      <c r="AN14" s="761"/>
      <c r="AO14" s="761"/>
      <c r="AP14" s="762"/>
      <c r="AQ14" s="760" t="s">
        <v>325</v>
      </c>
      <c r="AR14" s="761"/>
      <c r="AS14" s="761"/>
      <c r="AT14" s="762"/>
      <c r="AU14" s="760" t="s">
        <v>326</v>
      </c>
      <c r="AV14" s="761"/>
      <c r="AW14" s="761"/>
      <c r="AX14" s="762"/>
      <c r="AY14" s="760" t="s">
        <v>327</v>
      </c>
      <c r="AZ14" s="761"/>
      <c r="BA14" s="761"/>
      <c r="BB14" s="762"/>
      <c r="BC14" s="760" t="s">
        <v>328</v>
      </c>
      <c r="BD14" s="761"/>
      <c r="BE14" s="761"/>
      <c r="BF14" s="762"/>
    </row>
    <row r="15" spans="2:70" ht="68.25" customHeight="1" thickBot="1" x14ac:dyDescent="0.35">
      <c r="B15" s="1"/>
      <c r="C15" s="1"/>
      <c r="D15" s="1"/>
      <c r="E15" s="1"/>
      <c r="K15" s="2" t="s">
        <v>12</v>
      </c>
      <c r="L15" s="3" t="s">
        <v>14</v>
      </c>
      <c r="M15" s="3" t="s">
        <v>13</v>
      </c>
      <c r="N15" s="3" t="s">
        <v>244</v>
      </c>
      <c r="O15" s="2" t="s">
        <v>12</v>
      </c>
      <c r="P15" s="3" t="s">
        <v>14</v>
      </c>
      <c r="Q15" s="3" t="s">
        <v>13</v>
      </c>
      <c r="R15" s="3" t="s">
        <v>244</v>
      </c>
      <c r="S15" s="2" t="s">
        <v>12</v>
      </c>
      <c r="T15" s="3" t="s">
        <v>14</v>
      </c>
      <c r="U15" s="3" t="s">
        <v>13</v>
      </c>
      <c r="V15" s="3" t="s">
        <v>244</v>
      </c>
      <c r="W15" s="2" t="s">
        <v>12</v>
      </c>
      <c r="X15" s="3" t="s">
        <v>14</v>
      </c>
      <c r="Y15" s="3" t="s">
        <v>13</v>
      </c>
      <c r="Z15" s="3" t="s">
        <v>244</v>
      </c>
      <c r="AA15" s="2" t="s">
        <v>12</v>
      </c>
      <c r="AB15" s="3" t="s">
        <v>14</v>
      </c>
      <c r="AC15" s="3" t="s">
        <v>13</v>
      </c>
      <c r="AD15" s="3" t="s">
        <v>244</v>
      </c>
      <c r="AE15" s="2" t="s">
        <v>12</v>
      </c>
      <c r="AF15" s="3" t="s">
        <v>14</v>
      </c>
      <c r="AG15" s="3" t="s">
        <v>13</v>
      </c>
      <c r="AH15" s="3" t="s">
        <v>244</v>
      </c>
      <c r="AI15" s="2" t="s">
        <v>12</v>
      </c>
      <c r="AJ15" s="3" t="s">
        <v>14</v>
      </c>
      <c r="AK15" s="3" t="s">
        <v>13</v>
      </c>
      <c r="AL15" s="3" t="s">
        <v>244</v>
      </c>
      <c r="AM15" s="2" t="s">
        <v>12</v>
      </c>
      <c r="AN15" s="3" t="s">
        <v>14</v>
      </c>
      <c r="AO15" s="3" t="s">
        <v>13</v>
      </c>
      <c r="AP15" s="3" t="s">
        <v>244</v>
      </c>
      <c r="AQ15" s="2" t="s">
        <v>12</v>
      </c>
      <c r="AR15" s="3" t="s">
        <v>14</v>
      </c>
      <c r="AS15" s="3" t="s">
        <v>13</v>
      </c>
      <c r="AT15" s="3" t="s">
        <v>244</v>
      </c>
      <c r="AU15" s="2" t="s">
        <v>12</v>
      </c>
      <c r="AV15" s="3" t="s">
        <v>14</v>
      </c>
      <c r="AW15" s="3" t="s">
        <v>13</v>
      </c>
      <c r="AX15" s="3" t="s">
        <v>244</v>
      </c>
      <c r="AY15" s="2" t="s">
        <v>12</v>
      </c>
      <c r="AZ15" s="3" t="s">
        <v>14</v>
      </c>
      <c r="BA15" s="3" t="s">
        <v>13</v>
      </c>
      <c r="BB15" s="3" t="s">
        <v>244</v>
      </c>
      <c r="BC15" s="2" t="s">
        <v>12</v>
      </c>
      <c r="BD15" s="3" t="s">
        <v>14</v>
      </c>
      <c r="BE15" s="4" t="s">
        <v>13</v>
      </c>
      <c r="BF15" s="3" t="s">
        <v>244</v>
      </c>
    </row>
    <row r="16" spans="2:70" ht="15" customHeight="1" thickBot="1" x14ac:dyDescent="0.35">
      <c r="B16" s="753" t="s">
        <v>161</v>
      </c>
      <c r="C16" s="563" t="s">
        <v>15</v>
      </c>
      <c r="D16" s="756" t="s">
        <v>16</v>
      </c>
      <c r="E16" s="730" t="s">
        <v>17</v>
      </c>
      <c r="F16" s="731"/>
      <c r="G16" s="205" t="s">
        <v>263</v>
      </c>
      <c r="H16" s="206" t="s">
        <v>264</v>
      </c>
      <c r="I16" s="207">
        <v>5</v>
      </c>
      <c r="J16" s="208">
        <v>3</v>
      </c>
      <c r="K16" s="139"/>
      <c r="L16" s="128"/>
      <c r="M16" s="128"/>
      <c r="N16" s="129"/>
      <c r="O16" s="139"/>
      <c r="P16" s="128"/>
      <c r="Q16" s="128"/>
      <c r="R16" s="129"/>
      <c r="S16" s="139"/>
      <c r="T16" s="128"/>
      <c r="U16" s="128"/>
      <c r="V16" s="129"/>
      <c r="W16" s="133">
        <f t="shared" ref="W16:W23" si="0">IF(ISNUMBER(FIND(W$13,$G16)),$I16,IF(ISNUMBER(FIND(W$13,$H16)),$J16,""))</f>
        <v>5</v>
      </c>
      <c r="X16" s="128"/>
      <c r="Y16" s="128"/>
      <c r="Z16" s="129"/>
      <c r="AA16" s="139"/>
      <c r="AB16" s="128"/>
      <c r="AC16" s="128"/>
      <c r="AD16" s="129"/>
      <c r="AE16" s="139"/>
      <c r="AF16" s="128"/>
      <c r="AG16" s="128"/>
      <c r="AH16" s="129"/>
      <c r="AI16" s="139"/>
      <c r="AJ16" s="128"/>
      <c r="AK16" s="128"/>
      <c r="AL16" s="129"/>
      <c r="AM16" s="127">
        <f>IF(ISNUMBER(FIND(AM$13,$G16)),$I16,IF(ISNUMBER(FIND(AM$13,$H16)),$J16,""))</f>
        <v>3</v>
      </c>
      <c r="AN16" s="128"/>
      <c r="AO16" s="128"/>
      <c r="AP16" s="129"/>
      <c r="AQ16" s="139"/>
      <c r="AR16" s="128"/>
      <c r="AS16" s="128"/>
      <c r="AT16" s="129"/>
      <c r="AU16" s="139"/>
      <c r="AV16" s="128"/>
      <c r="AW16" s="128"/>
      <c r="AX16" s="129"/>
      <c r="AY16" s="127">
        <f>IF(ISNUMBER(FIND(AY$13,$G16)),$I16,IF(ISNUMBER(FIND(AY$13,$H16)),$J16,""))</f>
        <v>3</v>
      </c>
      <c r="AZ16" s="128"/>
      <c r="BA16" s="128"/>
      <c r="BB16" s="129"/>
      <c r="BC16" s="127">
        <f>IF(ISNUMBER(FIND(BC$13,$G16)),$I16,IF(ISNUMBER(FIND(BC$13,$H16)),$J16,""))</f>
        <v>5</v>
      </c>
      <c r="BD16" s="128"/>
      <c r="BE16" s="128"/>
      <c r="BF16" s="129"/>
      <c r="BH16">
        <v>9</v>
      </c>
      <c r="BI16" t="s">
        <v>31</v>
      </c>
      <c r="BL16" t="s">
        <v>37</v>
      </c>
      <c r="BN16" t="s">
        <v>49</v>
      </c>
      <c r="BP16" s="8" t="s">
        <v>64</v>
      </c>
      <c r="BR16" t="s">
        <v>50</v>
      </c>
    </row>
    <row r="17" spans="2:70" ht="14.5" thickBot="1" x14ac:dyDescent="0.35">
      <c r="B17" s="754"/>
      <c r="C17" s="564"/>
      <c r="D17" s="757"/>
      <c r="E17" s="723" t="s">
        <v>18</v>
      </c>
      <c r="F17" s="724"/>
      <c r="G17" s="209" t="s">
        <v>260</v>
      </c>
      <c r="H17" s="210" t="s">
        <v>265</v>
      </c>
      <c r="I17" s="211">
        <v>5</v>
      </c>
      <c r="J17" s="212">
        <v>1</v>
      </c>
      <c r="K17" s="133">
        <f>IF(ISNUMBER(FIND(K$13,$G17)),$I17,IF(ISNUMBER(FIND(K$13,$H17)),$J17,""))</f>
        <v>1</v>
      </c>
      <c r="L17" s="131"/>
      <c r="M17" s="131"/>
      <c r="N17" s="132"/>
      <c r="O17" s="130"/>
      <c r="P17" s="131"/>
      <c r="Q17" s="131"/>
      <c r="R17" s="132"/>
      <c r="S17" s="130"/>
      <c r="T17" s="131"/>
      <c r="U17" s="131"/>
      <c r="V17" s="132"/>
      <c r="W17" s="130"/>
      <c r="X17" s="131"/>
      <c r="Y17" s="131"/>
      <c r="Z17" s="132"/>
      <c r="AA17" s="130"/>
      <c r="AB17" s="131"/>
      <c r="AC17" s="131"/>
      <c r="AD17" s="132"/>
      <c r="AE17" s="133">
        <f>IF(ISNUMBER(FIND(AE$13,$G17)),$I17,IF(ISNUMBER(FIND(AE$13,$H17)),$J17,""))</f>
        <v>1</v>
      </c>
      <c r="AF17" s="131"/>
      <c r="AG17" s="131"/>
      <c r="AH17" s="132"/>
      <c r="AI17" s="130"/>
      <c r="AJ17" s="131"/>
      <c r="AK17" s="131"/>
      <c r="AL17" s="132"/>
      <c r="AM17" s="133">
        <f>IF(ISNUMBER(FIND(AM$13,$G17)),$I17,IF(ISNUMBER(FIND(AM$13,$H17)),$J17,""))</f>
        <v>5</v>
      </c>
      <c r="AN17" s="131"/>
      <c r="AO17" s="131"/>
      <c r="AP17" s="132"/>
      <c r="AQ17" s="130"/>
      <c r="AR17" s="131"/>
      <c r="AS17" s="131"/>
      <c r="AT17" s="132"/>
      <c r="AU17" s="133">
        <f>IF(ISNUMBER(FIND(AU$13,$G17)),$I17,IF(ISNUMBER(FIND(AU$13,$H17)),$J17,""))</f>
        <v>5</v>
      </c>
      <c r="AV17" s="131"/>
      <c r="AW17" s="131"/>
      <c r="AX17" s="132"/>
      <c r="AY17" s="130"/>
      <c r="AZ17" s="131"/>
      <c r="BA17" s="131"/>
      <c r="BB17" s="132"/>
      <c r="BC17" s="130"/>
      <c r="BD17" s="131"/>
      <c r="BE17" s="131"/>
      <c r="BF17" s="132"/>
      <c r="BH17">
        <v>8</v>
      </c>
      <c r="BI17" t="s">
        <v>30</v>
      </c>
      <c r="BL17" t="s">
        <v>38</v>
      </c>
      <c r="BN17" t="s">
        <v>41</v>
      </c>
      <c r="BP17" t="s">
        <v>56</v>
      </c>
      <c r="BR17" t="s">
        <v>68</v>
      </c>
    </row>
    <row r="18" spans="2:70" ht="14.5" thickBot="1" x14ac:dyDescent="0.35">
      <c r="B18" s="754"/>
      <c r="C18" s="564"/>
      <c r="D18" s="757"/>
      <c r="E18" s="723" t="s">
        <v>19</v>
      </c>
      <c r="F18" s="724"/>
      <c r="G18" s="209" t="s">
        <v>266</v>
      </c>
      <c r="H18" s="210" t="s">
        <v>267</v>
      </c>
      <c r="I18" s="211">
        <v>3</v>
      </c>
      <c r="J18" s="212">
        <v>5</v>
      </c>
      <c r="K18" s="130"/>
      <c r="L18" s="131"/>
      <c r="M18" s="131"/>
      <c r="N18" s="132"/>
      <c r="O18" s="130"/>
      <c r="P18" s="131"/>
      <c r="Q18" s="131"/>
      <c r="R18" s="132"/>
      <c r="S18" s="133">
        <f>IF(ISNUMBER(FIND(S$13,$G18)),$I18,IF(ISNUMBER(FIND(S$13,$H18)),$J18,""))</f>
        <v>3</v>
      </c>
      <c r="T18" s="131"/>
      <c r="U18" s="131"/>
      <c r="V18" s="132"/>
      <c r="W18" s="133">
        <f t="shared" si="0"/>
        <v>5</v>
      </c>
      <c r="X18" s="131"/>
      <c r="Y18" s="131"/>
      <c r="Z18" s="132"/>
      <c r="AA18" s="133">
        <f>IF(ISNUMBER(FIND(AA$13,$G18)),$I18,IF(ISNUMBER(FIND(AA$13,$H18)),$J18,""))</f>
        <v>5</v>
      </c>
      <c r="AB18" s="131"/>
      <c r="AC18" s="131"/>
      <c r="AD18" s="132"/>
      <c r="AE18" s="130"/>
      <c r="AF18" s="131"/>
      <c r="AG18" s="131"/>
      <c r="AH18" s="132"/>
      <c r="AI18" s="130"/>
      <c r="AJ18" s="131"/>
      <c r="AK18" s="131"/>
      <c r="AL18" s="132"/>
      <c r="AM18" s="130"/>
      <c r="AN18" s="131"/>
      <c r="AO18" s="131"/>
      <c r="AP18" s="132"/>
      <c r="AQ18" s="133">
        <f>IF(ISNUMBER(FIND(AQ$13,$G18)),$I18,IF(ISNUMBER(FIND(AQ$13,$H18)),$J18,""))</f>
        <v>3</v>
      </c>
      <c r="AR18" s="131"/>
      <c r="AS18" s="131"/>
      <c r="AT18" s="132"/>
      <c r="AU18" s="130"/>
      <c r="AV18" s="131"/>
      <c r="AW18" s="131"/>
      <c r="AX18" s="132"/>
      <c r="AY18" s="130"/>
      <c r="AZ18" s="131"/>
      <c r="BA18" s="131"/>
      <c r="BB18" s="132"/>
      <c r="BC18" s="130"/>
      <c r="BD18" s="131"/>
      <c r="BE18" s="131"/>
      <c r="BF18" s="132"/>
      <c r="BH18">
        <f>BH16*BH17</f>
        <v>72</v>
      </c>
      <c r="BI18" t="s">
        <v>32</v>
      </c>
      <c r="BL18" t="s">
        <v>39</v>
      </c>
      <c r="BN18" t="s">
        <v>42</v>
      </c>
      <c r="BP18" t="s">
        <v>57</v>
      </c>
      <c r="BR18" t="s">
        <v>69</v>
      </c>
    </row>
    <row r="19" spans="2:70" ht="14.5" thickBot="1" x14ac:dyDescent="0.35">
      <c r="B19" s="754"/>
      <c r="C19" s="564"/>
      <c r="D19" s="757"/>
      <c r="E19" s="723" t="s">
        <v>20</v>
      </c>
      <c r="F19" s="724"/>
      <c r="G19" s="209" t="s">
        <v>268</v>
      </c>
      <c r="H19" s="210" t="s">
        <v>269</v>
      </c>
      <c r="I19" s="211">
        <v>5</v>
      </c>
      <c r="J19" s="212">
        <v>1</v>
      </c>
      <c r="K19" s="130"/>
      <c r="L19" s="131"/>
      <c r="M19" s="131"/>
      <c r="N19" s="132"/>
      <c r="O19" s="130"/>
      <c r="P19" s="131"/>
      <c r="Q19" s="131"/>
      <c r="R19" s="132"/>
      <c r="S19" s="130"/>
      <c r="T19" s="131"/>
      <c r="U19" s="131"/>
      <c r="V19" s="132"/>
      <c r="W19" s="130"/>
      <c r="X19" s="131"/>
      <c r="Y19" s="131"/>
      <c r="Z19" s="132"/>
      <c r="AA19" s="130"/>
      <c r="AB19" s="131"/>
      <c r="AC19" s="131"/>
      <c r="AD19" s="132"/>
      <c r="AE19" s="133">
        <f>IF(ISNUMBER(FIND(AE$13,$G19)),$I19,IF(ISNUMBER(FIND(AE$13,$H19)),$J19,""))</f>
        <v>5</v>
      </c>
      <c r="AF19" s="131"/>
      <c r="AG19" s="131"/>
      <c r="AH19" s="132"/>
      <c r="AI19" s="133">
        <f>IF(ISNUMBER(FIND(AI$13,$G19)),$I19,IF(ISNUMBER(FIND(AI$13,$H19)),$J19,""))</f>
        <v>1</v>
      </c>
      <c r="AJ19" s="131"/>
      <c r="AK19" s="131"/>
      <c r="AL19" s="132"/>
      <c r="AM19" s="130"/>
      <c r="AN19" s="131"/>
      <c r="AO19" s="131"/>
      <c r="AP19" s="132"/>
      <c r="AQ19" s="130"/>
      <c r="AR19" s="131"/>
      <c r="AS19" s="131"/>
      <c r="AT19" s="132"/>
      <c r="AU19" s="133">
        <f>IF(ISNUMBER(FIND(AU$13,$G19)),$I19,IF(ISNUMBER(FIND(AU$13,$H19)),$J19,""))</f>
        <v>1</v>
      </c>
      <c r="AV19" s="131"/>
      <c r="AW19" s="131"/>
      <c r="AX19" s="132"/>
      <c r="AY19" s="130"/>
      <c r="AZ19" s="131"/>
      <c r="BA19" s="131"/>
      <c r="BB19" s="132"/>
      <c r="BC19" s="133">
        <f>IF(ISNUMBER(FIND(BC$13,$G19)),$I19,IF(ISNUMBER(FIND(BC$13,$H19)),$J19,""))</f>
        <v>5</v>
      </c>
      <c r="BD19" s="131"/>
      <c r="BE19" s="131"/>
      <c r="BF19" s="132"/>
      <c r="BH19">
        <f>BH17/14.5</f>
        <v>0.55172413793103448</v>
      </c>
      <c r="BI19" t="s">
        <v>36</v>
      </c>
    </row>
    <row r="20" spans="2:70" ht="14.5" thickBot="1" x14ac:dyDescent="0.35">
      <c r="B20" s="754"/>
      <c r="C20" s="564"/>
      <c r="D20" s="757"/>
      <c r="E20" s="723" t="s">
        <v>21</v>
      </c>
      <c r="F20" s="724"/>
      <c r="G20" s="209" t="s">
        <v>270</v>
      </c>
      <c r="H20" s="210" t="s">
        <v>271</v>
      </c>
      <c r="I20" s="211">
        <v>3</v>
      </c>
      <c r="J20" s="212">
        <v>5</v>
      </c>
      <c r="K20" s="130"/>
      <c r="L20" s="131"/>
      <c r="M20" s="131"/>
      <c r="N20" s="132"/>
      <c r="O20" s="133">
        <f>IF(ISNUMBER(FIND(O$13,$G20)),$I20,IF(ISNUMBER(FIND(O$13,$H20)),$J20,""))</f>
        <v>5</v>
      </c>
      <c r="P20" s="131"/>
      <c r="Q20" s="131"/>
      <c r="R20" s="132"/>
      <c r="S20" s="130"/>
      <c r="T20" s="131"/>
      <c r="U20" s="131"/>
      <c r="V20" s="132"/>
      <c r="W20" s="130"/>
      <c r="X20" s="131"/>
      <c r="Y20" s="131"/>
      <c r="Z20" s="132"/>
      <c r="AA20" s="133">
        <f>IF(ISNUMBER(FIND(AA$13,$G20)),$I20,IF(ISNUMBER(FIND(AA$13,$H20)),$J20,""))</f>
        <v>3</v>
      </c>
      <c r="AB20" s="131"/>
      <c r="AC20" s="131"/>
      <c r="AD20" s="132"/>
      <c r="AE20" s="130"/>
      <c r="AF20" s="131"/>
      <c r="AG20" s="131"/>
      <c r="AH20" s="132"/>
      <c r="AI20" s="130"/>
      <c r="AJ20" s="131"/>
      <c r="AK20" s="131"/>
      <c r="AL20" s="132"/>
      <c r="AM20" s="130"/>
      <c r="AN20" s="131"/>
      <c r="AO20" s="131"/>
      <c r="AP20" s="132"/>
      <c r="AQ20" s="130"/>
      <c r="AR20" s="131"/>
      <c r="AS20" s="131"/>
      <c r="AT20" s="132"/>
      <c r="AU20" s="130"/>
      <c r="AV20" s="131"/>
      <c r="AW20" s="131"/>
      <c r="AX20" s="132"/>
      <c r="AY20" s="133">
        <f>IF(ISNUMBER(FIND(AY$13,$G20)),$I20,IF(ISNUMBER(FIND(AY$13,$H20)),$J20,""))</f>
        <v>3</v>
      </c>
      <c r="AZ20" s="131"/>
      <c r="BA20" s="131"/>
      <c r="BB20" s="132"/>
      <c r="BC20" s="133">
        <f>IF(ISNUMBER(FIND(BC$13,$G20)),$I20,IF(ISNUMBER(FIND(BC$13,$H20)),$J20,""))</f>
        <v>5</v>
      </c>
      <c r="BD20" s="131"/>
      <c r="BE20" s="131"/>
      <c r="BF20" s="132"/>
      <c r="BH20">
        <f>BH19*6/10*14.5</f>
        <v>4.8</v>
      </c>
    </row>
    <row r="21" spans="2:70" ht="14.5" thickBot="1" x14ac:dyDescent="0.35">
      <c r="B21" s="754"/>
      <c r="C21" s="564"/>
      <c r="D21" s="757"/>
      <c r="E21" s="723" t="s">
        <v>22</v>
      </c>
      <c r="F21" s="724"/>
      <c r="G21" s="209" t="s">
        <v>272</v>
      </c>
      <c r="H21" s="210" t="s">
        <v>262</v>
      </c>
      <c r="I21" s="211">
        <v>5</v>
      </c>
      <c r="J21" s="212">
        <v>1</v>
      </c>
      <c r="K21" s="133">
        <f>IF(ISNUMBER(FIND(K$13,$G21)),$I21,IF(ISNUMBER(FIND(K$13,$H21)),$J21,""))</f>
        <v>1</v>
      </c>
      <c r="L21" s="131"/>
      <c r="M21" s="131"/>
      <c r="N21" s="132"/>
      <c r="O21" s="133">
        <f>IF(ISNUMBER(FIND(O$13,$G21)),$I21,IF(ISNUMBER(FIND(O$13,$H21)),$J21,""))</f>
        <v>5</v>
      </c>
      <c r="P21" s="131"/>
      <c r="Q21" s="131"/>
      <c r="R21" s="132"/>
      <c r="S21" s="130"/>
      <c r="T21" s="131"/>
      <c r="U21" s="131"/>
      <c r="V21" s="132"/>
      <c r="W21" s="130"/>
      <c r="X21" s="131"/>
      <c r="Y21" s="131"/>
      <c r="Z21" s="132"/>
      <c r="AA21" s="130"/>
      <c r="AB21" s="131"/>
      <c r="AC21" s="131"/>
      <c r="AD21" s="132"/>
      <c r="AE21" s="130"/>
      <c r="AF21" s="131"/>
      <c r="AG21" s="131"/>
      <c r="AH21" s="132"/>
      <c r="AI21" s="130"/>
      <c r="AJ21" s="131"/>
      <c r="AK21" s="131"/>
      <c r="AL21" s="132"/>
      <c r="AM21" s="130"/>
      <c r="AN21" s="131"/>
      <c r="AO21" s="131"/>
      <c r="AP21" s="132"/>
      <c r="AQ21" s="133">
        <f>IF(ISNUMBER(FIND(AQ$13,$G21)),$I21,IF(ISNUMBER(FIND(AQ$13,$H21)),$J21,""))</f>
        <v>5</v>
      </c>
      <c r="AR21" s="131"/>
      <c r="AS21" s="131"/>
      <c r="AT21" s="132"/>
      <c r="AU21" s="130"/>
      <c r="AV21" s="131"/>
      <c r="AW21" s="131"/>
      <c r="AX21" s="132"/>
      <c r="AY21" s="130"/>
      <c r="AZ21" s="131"/>
      <c r="BA21" s="131"/>
      <c r="BB21" s="132"/>
      <c r="BC21" s="133">
        <f>IF(ISNUMBER(FIND(BC$13,$G21)),$I21,IF(ISNUMBER(FIND(BC$13,$H21)),$J21,""))</f>
        <v>1</v>
      </c>
      <c r="BD21" s="131"/>
      <c r="BE21" s="131"/>
      <c r="BF21" s="132"/>
    </row>
    <row r="22" spans="2:70" ht="14.5" thickBot="1" x14ac:dyDescent="0.35">
      <c r="B22" s="754"/>
      <c r="C22" s="564"/>
      <c r="D22" s="757"/>
      <c r="E22" s="723" t="s">
        <v>23</v>
      </c>
      <c r="F22" s="724"/>
      <c r="G22" s="209" t="s">
        <v>273</v>
      </c>
      <c r="H22" s="210" t="s">
        <v>261</v>
      </c>
      <c r="I22" s="211">
        <v>5</v>
      </c>
      <c r="J22" s="212">
        <v>4</v>
      </c>
      <c r="K22" s="133">
        <f>IF(ISNUMBER(FIND(K$13,$G22)),$I22,IF(ISNUMBER(FIND(K$13,$H22)),$J22,""))</f>
        <v>5</v>
      </c>
      <c r="L22" s="131"/>
      <c r="M22" s="131"/>
      <c r="N22" s="132"/>
      <c r="O22" s="130"/>
      <c r="P22" s="131"/>
      <c r="Q22" s="131"/>
      <c r="R22" s="132"/>
      <c r="S22" s="130"/>
      <c r="T22" s="131"/>
      <c r="U22" s="131"/>
      <c r="V22" s="132"/>
      <c r="W22" s="130"/>
      <c r="X22" s="131"/>
      <c r="Y22" s="131"/>
      <c r="Z22" s="132"/>
      <c r="AA22" s="130"/>
      <c r="AB22" s="131"/>
      <c r="AC22" s="131"/>
      <c r="AD22" s="132"/>
      <c r="AE22" s="133">
        <f>IF(ISNUMBER(FIND(AE$13,$G22)),$I22,IF(ISNUMBER(FIND(AE$13,$H22)),$J22,""))</f>
        <v>4</v>
      </c>
      <c r="AF22" s="131"/>
      <c r="AG22" s="131"/>
      <c r="AH22" s="132"/>
      <c r="AI22" s="130"/>
      <c r="AJ22" s="131"/>
      <c r="AK22" s="131"/>
      <c r="AL22" s="132"/>
      <c r="AM22" s="130"/>
      <c r="AN22" s="131"/>
      <c r="AO22" s="131"/>
      <c r="AP22" s="132"/>
      <c r="AQ22" s="133">
        <f>IF(ISNUMBER(FIND(AQ$13,$G22)),$I22,IF(ISNUMBER(FIND(AQ$13,$H22)),$J22,""))</f>
        <v>4</v>
      </c>
      <c r="AR22" s="131"/>
      <c r="AS22" s="131"/>
      <c r="AT22" s="132"/>
      <c r="AU22" s="130"/>
      <c r="AV22" s="131"/>
      <c r="AW22" s="131"/>
      <c r="AX22" s="132"/>
      <c r="AY22" s="133">
        <f>IF(ISNUMBER(FIND(AY$13,$G22)),$I22,IF(ISNUMBER(FIND(AY$13,$H22)),$J22,""))</f>
        <v>5</v>
      </c>
      <c r="AZ22" s="131"/>
      <c r="BA22" s="131"/>
      <c r="BB22" s="132"/>
      <c r="BC22" s="130"/>
      <c r="BD22" s="131"/>
      <c r="BE22" s="131"/>
      <c r="BF22" s="132"/>
      <c r="BI22" t="s">
        <v>33</v>
      </c>
    </row>
    <row r="23" spans="2:70" ht="14.5" thickBot="1" x14ac:dyDescent="0.35">
      <c r="B23" s="754"/>
      <c r="C23" s="564"/>
      <c r="D23" s="757"/>
      <c r="E23" s="723" t="s">
        <v>24</v>
      </c>
      <c r="F23" s="724"/>
      <c r="G23" s="213" t="s">
        <v>274</v>
      </c>
      <c r="H23" s="214" t="s">
        <v>275</v>
      </c>
      <c r="I23" s="215">
        <v>5</v>
      </c>
      <c r="J23" s="216">
        <v>4</v>
      </c>
      <c r="K23" s="136"/>
      <c r="L23" s="137"/>
      <c r="M23" s="137"/>
      <c r="N23" s="138"/>
      <c r="O23" s="136"/>
      <c r="P23" s="137"/>
      <c r="Q23" s="137"/>
      <c r="R23" s="138"/>
      <c r="S23" s="145">
        <f>IF(ISNUMBER(FIND(S$13,$G23)),$I23,IF(ISNUMBER(FIND(S$13,$H23)),$J23,""))</f>
        <v>4</v>
      </c>
      <c r="T23" s="137"/>
      <c r="U23" s="137"/>
      <c r="V23" s="138"/>
      <c r="W23" s="133">
        <f t="shared" si="0"/>
        <v>5</v>
      </c>
      <c r="X23" s="137"/>
      <c r="Y23" s="137"/>
      <c r="Z23" s="138"/>
      <c r="AA23" s="136"/>
      <c r="AB23" s="137"/>
      <c r="AC23" s="137"/>
      <c r="AD23" s="138"/>
      <c r="AE23" s="136"/>
      <c r="AF23" s="137"/>
      <c r="AG23" s="137"/>
      <c r="AH23" s="138"/>
      <c r="AI23" s="145">
        <f>IF(ISNUMBER(FIND(AI$13,$G23)),$I23,IF(ISNUMBER(FIND(AI$13,$H23)),$J23,""))</f>
        <v>5</v>
      </c>
      <c r="AJ23" s="137"/>
      <c r="AK23" s="137"/>
      <c r="AL23" s="138"/>
      <c r="AM23" s="136"/>
      <c r="AN23" s="137"/>
      <c r="AO23" s="137"/>
      <c r="AP23" s="138"/>
      <c r="AQ23" s="136"/>
      <c r="AR23" s="137"/>
      <c r="AS23" s="137"/>
      <c r="AT23" s="138"/>
      <c r="AU23" s="136"/>
      <c r="AV23" s="137"/>
      <c r="AW23" s="137"/>
      <c r="AX23" s="138"/>
      <c r="AY23" s="145">
        <f>IF(ISNUMBER(FIND(AY$13,$G23)),$I23,IF(ISNUMBER(FIND(AY$13,$H23)),$J23,""))</f>
        <v>4</v>
      </c>
      <c r="AZ23" s="137"/>
      <c r="BA23" s="137"/>
      <c r="BB23" s="138"/>
      <c r="BC23" s="136"/>
      <c r="BD23" s="137"/>
      <c r="BE23" s="137"/>
      <c r="BF23" s="138"/>
      <c r="BI23" t="s">
        <v>34</v>
      </c>
    </row>
    <row r="24" spans="2:70" ht="15" customHeight="1" x14ac:dyDescent="0.3">
      <c r="B24" s="754"/>
      <c r="C24" s="564"/>
      <c r="D24" s="745" t="s">
        <v>248</v>
      </c>
      <c r="E24" s="725" t="s">
        <v>17</v>
      </c>
      <c r="F24" s="726"/>
      <c r="G24" s="217" t="s">
        <v>0</v>
      </c>
      <c r="H24" s="218" t="s">
        <v>4</v>
      </c>
      <c r="I24" s="222">
        <v>166</v>
      </c>
      <c r="J24" s="219">
        <v>215</v>
      </c>
      <c r="K24" s="139"/>
      <c r="L24" s="134">
        <f>IF(ISNUMBER(FIND(K$13,$G24)),$I24,IF(ISNUMBER(FIND(K$13,$H24)),$J24,""))</f>
        <v>166</v>
      </c>
      <c r="M24" s="128"/>
      <c r="N24" s="129"/>
      <c r="O24" s="139"/>
      <c r="P24" s="128"/>
      <c r="Q24" s="128"/>
      <c r="R24" s="129"/>
      <c r="S24" s="139"/>
      <c r="T24" s="128"/>
      <c r="U24" s="128"/>
      <c r="V24" s="129"/>
      <c r="W24" s="139"/>
      <c r="X24" s="128"/>
      <c r="Y24" s="128"/>
      <c r="Z24" s="129"/>
      <c r="AA24" s="139"/>
      <c r="AB24" s="134">
        <f>IF(ISNUMBER(FIND(AA$13,$G24)),$I24,IF(ISNUMBER(FIND(AA$13,$H24)),$J24,""))</f>
        <v>215</v>
      </c>
      <c r="AC24" s="128"/>
      <c r="AD24" s="129"/>
      <c r="AE24" s="139"/>
      <c r="AF24" s="128"/>
      <c r="AG24" s="128"/>
      <c r="AH24" s="129"/>
      <c r="AI24" s="139"/>
      <c r="AJ24" s="128"/>
      <c r="AK24" s="128"/>
      <c r="AL24" s="129"/>
      <c r="AM24" s="139"/>
      <c r="AN24" s="128"/>
      <c r="AO24" s="128"/>
      <c r="AP24" s="129"/>
      <c r="AQ24" s="139"/>
      <c r="AR24" s="128"/>
      <c r="AS24" s="128"/>
      <c r="AT24" s="129"/>
      <c r="AU24" s="139"/>
      <c r="AV24" s="128"/>
      <c r="AW24" s="128"/>
      <c r="AX24" s="129"/>
      <c r="AY24" s="139"/>
      <c r="AZ24" s="128"/>
      <c r="BA24" s="128"/>
      <c r="BB24" s="129"/>
      <c r="BC24" s="139"/>
      <c r="BD24" s="128"/>
      <c r="BE24" s="128"/>
      <c r="BF24" s="129"/>
      <c r="BI24" t="s">
        <v>43</v>
      </c>
      <c r="BL24" t="s">
        <v>46</v>
      </c>
      <c r="BN24" t="s">
        <v>52</v>
      </c>
      <c r="BP24" s="8" t="s">
        <v>63</v>
      </c>
      <c r="BR24" t="s">
        <v>63</v>
      </c>
    </row>
    <row r="25" spans="2:70" x14ac:dyDescent="0.3">
      <c r="B25" s="754"/>
      <c r="C25" s="564"/>
      <c r="D25" s="746"/>
      <c r="E25" s="599" t="s">
        <v>18</v>
      </c>
      <c r="F25" s="600"/>
      <c r="G25" s="220" t="s">
        <v>6</v>
      </c>
      <c r="H25" s="221" t="s">
        <v>11</v>
      </c>
      <c r="I25" s="222">
        <v>188</v>
      </c>
      <c r="J25" s="222">
        <v>225</v>
      </c>
      <c r="K25" s="130"/>
      <c r="L25" s="131"/>
      <c r="M25" s="131"/>
      <c r="N25" s="132"/>
      <c r="O25" s="130"/>
      <c r="P25" s="131"/>
      <c r="Q25" s="131"/>
      <c r="R25" s="132"/>
      <c r="S25" s="130"/>
      <c r="T25" s="131"/>
      <c r="U25" s="131"/>
      <c r="V25" s="132"/>
      <c r="W25" s="130"/>
      <c r="X25" s="131"/>
      <c r="Y25" s="131"/>
      <c r="Z25" s="132"/>
      <c r="AA25" s="130"/>
      <c r="AB25" s="131"/>
      <c r="AC25" s="131"/>
      <c r="AD25" s="132"/>
      <c r="AE25" s="130"/>
      <c r="AF25" s="131"/>
      <c r="AG25" s="131"/>
      <c r="AH25" s="132"/>
      <c r="AI25" s="130"/>
      <c r="AJ25" s="134">
        <f>IF(ISNUMBER(FIND(AI$13,$G25)),$I25,IF(ISNUMBER(FIND(AI$13,$H25)),$J25,""))</f>
        <v>188</v>
      </c>
      <c r="AK25" s="131"/>
      <c r="AL25" s="132"/>
      <c r="AM25" s="130"/>
      <c r="AN25" s="131"/>
      <c r="AO25" s="131"/>
      <c r="AP25" s="132"/>
      <c r="AQ25" s="130"/>
      <c r="AR25" s="131"/>
      <c r="AS25" s="131"/>
      <c r="AT25" s="132"/>
      <c r="AU25" s="130"/>
      <c r="AV25" s="131"/>
      <c r="AW25" s="131"/>
      <c r="AX25" s="132"/>
      <c r="AY25" s="130"/>
      <c r="AZ25" s="131"/>
      <c r="BA25" s="131"/>
      <c r="BB25" s="132"/>
      <c r="BC25" s="130"/>
      <c r="BD25" s="134">
        <f>IF(ISNUMBER(FIND(BC$13,$G25)),$I25,IF(ISNUMBER(FIND(BC$13,$H25)),$J25,""))</f>
        <v>225</v>
      </c>
      <c r="BE25" s="131"/>
      <c r="BF25" s="132"/>
      <c r="BI25" t="s">
        <v>44</v>
      </c>
      <c r="BL25" t="s">
        <v>47</v>
      </c>
      <c r="BN25" t="s">
        <v>53</v>
      </c>
      <c r="BP25" t="s">
        <v>61</v>
      </c>
      <c r="BR25" t="s">
        <v>61</v>
      </c>
    </row>
    <row r="26" spans="2:70" x14ac:dyDescent="0.3">
      <c r="B26" s="754"/>
      <c r="C26" s="564"/>
      <c r="D26" s="746"/>
      <c r="E26" s="599" t="s">
        <v>19</v>
      </c>
      <c r="F26" s="600"/>
      <c r="G26" s="220" t="s">
        <v>1</v>
      </c>
      <c r="H26" s="221" t="s">
        <v>7</v>
      </c>
      <c r="I26" s="222">
        <v>227</v>
      </c>
      <c r="J26" s="222">
        <v>259</v>
      </c>
      <c r="K26" s="130"/>
      <c r="L26" s="131"/>
      <c r="M26" s="131"/>
      <c r="N26" s="132"/>
      <c r="O26" s="130"/>
      <c r="P26" s="134">
        <f>IF(ISNUMBER(FIND(O$13,$G26)),$I26,IF(ISNUMBER(FIND(O$13,$H26)),$J26,""))</f>
        <v>227</v>
      </c>
      <c r="Q26" s="131"/>
      <c r="R26" s="132"/>
      <c r="S26" s="130"/>
      <c r="T26" s="131"/>
      <c r="U26" s="131"/>
      <c r="V26" s="132"/>
      <c r="W26" s="130"/>
      <c r="X26" s="131"/>
      <c r="Y26" s="131"/>
      <c r="Z26" s="132"/>
      <c r="AA26" s="130"/>
      <c r="AB26" s="131"/>
      <c r="AC26" s="131"/>
      <c r="AD26" s="132"/>
      <c r="AE26" s="130"/>
      <c r="AF26" s="131"/>
      <c r="AG26" s="131"/>
      <c r="AH26" s="132"/>
      <c r="AI26" s="130"/>
      <c r="AJ26" s="131"/>
      <c r="AK26" s="131"/>
      <c r="AL26" s="132"/>
      <c r="AM26" s="130"/>
      <c r="AN26" s="134">
        <f>IF(ISNUMBER(FIND(AM$13,$G26)),$I26,IF(ISNUMBER(FIND(AM$13,$H26)),$J26,""))</f>
        <v>259</v>
      </c>
      <c r="AO26" s="131"/>
      <c r="AP26" s="132"/>
      <c r="AQ26" s="130"/>
      <c r="AR26" s="131"/>
      <c r="AS26" s="131"/>
      <c r="AT26" s="132"/>
      <c r="AU26" s="130"/>
      <c r="AV26" s="131"/>
      <c r="AW26" s="131"/>
      <c r="AX26" s="132"/>
      <c r="AY26" s="130"/>
      <c r="AZ26" s="131"/>
      <c r="BA26" s="131"/>
      <c r="BB26" s="132"/>
      <c r="BC26" s="130"/>
      <c r="BD26" s="131"/>
      <c r="BE26" s="131"/>
      <c r="BF26" s="132"/>
      <c r="BI26" t="s">
        <v>45</v>
      </c>
      <c r="BL26" t="s">
        <v>48</v>
      </c>
      <c r="BN26" t="s">
        <v>54</v>
      </c>
      <c r="BP26" t="s">
        <v>62</v>
      </c>
      <c r="BR26" t="s">
        <v>62</v>
      </c>
    </row>
    <row r="27" spans="2:70" x14ac:dyDescent="0.3">
      <c r="B27" s="754"/>
      <c r="C27" s="564"/>
      <c r="D27" s="746"/>
      <c r="E27" s="599" t="s">
        <v>20</v>
      </c>
      <c r="F27" s="600"/>
      <c r="G27" s="220" t="s">
        <v>2</v>
      </c>
      <c r="H27" s="221" t="s">
        <v>7</v>
      </c>
      <c r="I27" s="222">
        <v>236</v>
      </c>
      <c r="J27" s="222">
        <v>97</v>
      </c>
      <c r="K27" s="130"/>
      <c r="L27" s="131"/>
      <c r="M27" s="131"/>
      <c r="N27" s="132"/>
      <c r="O27" s="130"/>
      <c r="P27" s="131"/>
      <c r="Q27" s="131"/>
      <c r="R27" s="132"/>
      <c r="S27" s="130"/>
      <c r="T27" s="134">
        <f>IF(ISNUMBER(FIND(S$13,$G27)),$I27,IF(ISNUMBER(FIND(S$13,$H27)),$J27,""))</f>
        <v>236</v>
      </c>
      <c r="U27" s="131"/>
      <c r="V27" s="132"/>
      <c r="W27" s="130"/>
      <c r="X27" s="131"/>
      <c r="Y27" s="131"/>
      <c r="Z27" s="132"/>
      <c r="AA27" s="130"/>
      <c r="AB27" s="131"/>
      <c r="AC27" s="131"/>
      <c r="AD27" s="132"/>
      <c r="AE27" s="130"/>
      <c r="AF27" s="131"/>
      <c r="AG27" s="131"/>
      <c r="AH27" s="132"/>
      <c r="AI27" s="130"/>
      <c r="AJ27" s="131"/>
      <c r="AK27" s="131"/>
      <c r="AL27" s="132"/>
      <c r="AM27" s="130"/>
      <c r="AN27" s="134">
        <f>IF(ISNUMBER(FIND(AM$13,$G27)),$I27,IF(ISNUMBER(FIND(AM$13,$H27)),$J27,""))</f>
        <v>97</v>
      </c>
      <c r="AO27" s="131"/>
      <c r="AP27" s="132"/>
      <c r="AQ27" s="130"/>
      <c r="AR27" s="131"/>
      <c r="AS27" s="131"/>
      <c r="AT27" s="132"/>
      <c r="AU27" s="130"/>
      <c r="AV27" s="131"/>
      <c r="AW27" s="131"/>
      <c r="AX27" s="132"/>
      <c r="AY27" s="130"/>
      <c r="AZ27" s="131"/>
      <c r="BA27" s="131"/>
      <c r="BB27" s="132"/>
      <c r="BC27" s="130"/>
      <c r="BD27" s="131"/>
      <c r="BE27" s="131"/>
      <c r="BF27" s="132"/>
    </row>
    <row r="28" spans="2:70" x14ac:dyDescent="0.3">
      <c r="B28" s="754"/>
      <c r="C28" s="564"/>
      <c r="D28" s="746"/>
      <c r="E28" s="599" t="s">
        <v>21</v>
      </c>
      <c r="F28" s="600"/>
      <c r="G28" s="220" t="s">
        <v>6</v>
      </c>
      <c r="H28" s="221" t="s">
        <v>8</v>
      </c>
      <c r="I28" s="222">
        <v>236</v>
      </c>
      <c r="J28" s="222">
        <v>212</v>
      </c>
      <c r="K28" s="130"/>
      <c r="L28" s="131"/>
      <c r="M28" s="131"/>
      <c r="N28" s="132"/>
      <c r="O28" s="130"/>
      <c r="P28" s="131"/>
      <c r="Q28" s="131"/>
      <c r="R28" s="132"/>
      <c r="S28" s="130"/>
      <c r="T28" s="131"/>
      <c r="U28" s="131"/>
      <c r="V28" s="132"/>
      <c r="W28" s="130"/>
      <c r="X28" s="131"/>
      <c r="Y28" s="131"/>
      <c r="Z28" s="132"/>
      <c r="AA28" s="130"/>
      <c r="AB28" s="131"/>
      <c r="AC28" s="131"/>
      <c r="AD28" s="132"/>
      <c r="AE28" s="130"/>
      <c r="AF28" s="131"/>
      <c r="AG28" s="131"/>
      <c r="AH28" s="132"/>
      <c r="AI28" s="130"/>
      <c r="AJ28" s="134">
        <f>IF(ISNUMBER(FIND(AI$13,$G28)),$I28,IF(ISNUMBER(FIND(AI$13,$H28)),$J28,""))</f>
        <v>236</v>
      </c>
      <c r="AK28" s="131"/>
      <c r="AL28" s="132"/>
      <c r="AM28" s="130"/>
      <c r="AN28" s="131"/>
      <c r="AO28" s="131"/>
      <c r="AP28" s="132"/>
      <c r="AQ28" s="130"/>
      <c r="AR28" s="134">
        <f>IF(ISNUMBER(FIND(AQ$13,$G28)),$I28,IF(ISNUMBER(FIND(AQ$13,$H28)),$J28,""))</f>
        <v>212</v>
      </c>
      <c r="AS28" s="131"/>
      <c r="AT28" s="132"/>
      <c r="AU28" s="130"/>
      <c r="AV28" s="131"/>
      <c r="AW28" s="131"/>
      <c r="AX28" s="132"/>
      <c r="AY28" s="130"/>
      <c r="AZ28" s="131"/>
      <c r="BA28" s="131"/>
      <c r="BB28" s="132"/>
      <c r="BC28" s="130"/>
      <c r="BD28" s="131"/>
      <c r="BE28" s="131"/>
      <c r="BF28" s="132"/>
    </row>
    <row r="29" spans="2:70" x14ac:dyDescent="0.3">
      <c r="B29" s="754"/>
      <c r="C29" s="564"/>
      <c r="D29" s="746"/>
      <c r="E29" s="599" t="s">
        <v>22</v>
      </c>
      <c r="F29" s="600"/>
      <c r="G29" s="220" t="s">
        <v>3</v>
      </c>
      <c r="H29" s="221" t="s">
        <v>5</v>
      </c>
      <c r="I29" s="222">
        <v>256</v>
      </c>
      <c r="J29" s="222">
        <v>341</v>
      </c>
      <c r="K29" s="130"/>
      <c r="L29" s="131"/>
      <c r="M29" s="131"/>
      <c r="N29" s="132"/>
      <c r="O29" s="130"/>
      <c r="P29" s="131"/>
      <c r="Q29" s="131"/>
      <c r="R29" s="132"/>
      <c r="S29" s="130"/>
      <c r="T29" s="131"/>
      <c r="U29" s="131"/>
      <c r="V29" s="132"/>
      <c r="W29" s="130"/>
      <c r="X29" s="134">
        <f>IF(ISNUMBER(FIND(W$13,$G29)),$I29,IF(ISNUMBER(FIND(W$13,$H29)),$J29,""))</f>
        <v>256</v>
      </c>
      <c r="Y29" s="131"/>
      <c r="Z29" s="132"/>
      <c r="AA29" s="130"/>
      <c r="AB29" s="131"/>
      <c r="AC29" s="131"/>
      <c r="AD29" s="132"/>
      <c r="AE29" s="130"/>
      <c r="AF29" s="134">
        <f>IF(ISNUMBER(FIND(AE$13,$G29)),$I29,IF(ISNUMBER(FIND(AE$13,$H29)),$J29,""))</f>
        <v>341</v>
      </c>
      <c r="AG29" s="131"/>
      <c r="AH29" s="132"/>
      <c r="AI29" s="130"/>
      <c r="AJ29" s="131"/>
      <c r="AK29" s="131"/>
      <c r="AL29" s="132"/>
      <c r="AM29" s="130"/>
      <c r="AN29" s="131"/>
      <c r="AO29" s="131"/>
      <c r="AP29" s="132"/>
      <c r="AQ29" s="130"/>
      <c r="AR29" s="131"/>
      <c r="AS29" s="131"/>
      <c r="AT29" s="132"/>
      <c r="AU29" s="130"/>
      <c r="AV29" s="131"/>
      <c r="AW29" s="131"/>
      <c r="AX29" s="132"/>
      <c r="AY29" s="130"/>
      <c r="AZ29" s="131"/>
      <c r="BA29" s="131"/>
      <c r="BB29" s="132"/>
      <c r="BC29" s="130"/>
      <c r="BD29" s="131"/>
      <c r="BE29" s="131"/>
      <c r="BF29" s="132"/>
    </row>
    <row r="30" spans="2:70" x14ac:dyDescent="0.3">
      <c r="B30" s="754"/>
      <c r="C30" s="564"/>
      <c r="D30" s="746"/>
      <c r="E30" s="599" t="s">
        <v>23</v>
      </c>
      <c r="F30" s="600"/>
      <c r="G30" s="220" t="s">
        <v>2</v>
      </c>
      <c r="H30" s="221" t="s">
        <v>9</v>
      </c>
      <c r="I30" s="222">
        <v>233</v>
      </c>
      <c r="J30" s="222">
        <v>200</v>
      </c>
      <c r="K30" s="130"/>
      <c r="L30" s="131"/>
      <c r="M30" s="131"/>
      <c r="N30" s="132"/>
      <c r="O30" s="130"/>
      <c r="P30" s="131"/>
      <c r="Q30" s="131"/>
      <c r="R30" s="132"/>
      <c r="S30" s="130"/>
      <c r="T30" s="134">
        <f>IF(ISNUMBER(FIND(S$13,$G30)),$I30,IF(ISNUMBER(FIND(S$13,$H30)),$J30,""))</f>
        <v>233</v>
      </c>
      <c r="U30" s="131"/>
      <c r="V30" s="132"/>
      <c r="W30" s="130"/>
      <c r="X30" s="131"/>
      <c r="Y30" s="131"/>
      <c r="Z30" s="132"/>
      <c r="AA30" s="130"/>
      <c r="AB30" s="131"/>
      <c r="AC30" s="131"/>
      <c r="AD30" s="132"/>
      <c r="AE30" s="130"/>
      <c r="AF30" s="131"/>
      <c r="AG30" s="131"/>
      <c r="AH30" s="132"/>
      <c r="AI30" s="130"/>
      <c r="AJ30" s="131"/>
      <c r="AK30" s="131"/>
      <c r="AL30" s="132"/>
      <c r="AM30" s="130"/>
      <c r="AN30" s="131"/>
      <c r="AO30" s="131"/>
      <c r="AP30" s="132"/>
      <c r="AQ30" s="130"/>
      <c r="AR30" s="131"/>
      <c r="AS30" s="131"/>
      <c r="AT30" s="132"/>
      <c r="AU30" s="130"/>
      <c r="AV30" s="134">
        <f>IF(ISNUMBER(FIND(AU$13,$G30)),$I30,IF(ISNUMBER(FIND(AU$13,$H30)),$J30,""))</f>
        <v>200</v>
      </c>
      <c r="AW30" s="131"/>
      <c r="AX30" s="132"/>
      <c r="AY30" s="130"/>
      <c r="AZ30" s="131"/>
      <c r="BA30" s="131"/>
      <c r="BB30" s="132"/>
      <c r="BC30" s="130"/>
      <c r="BD30" s="131"/>
      <c r="BE30" s="131"/>
      <c r="BF30" s="132"/>
    </row>
    <row r="31" spans="2:70" ht="14.5" thickBot="1" x14ac:dyDescent="0.35">
      <c r="B31" s="754"/>
      <c r="C31" s="564"/>
      <c r="D31" s="746"/>
      <c r="E31" s="599" t="s">
        <v>24</v>
      </c>
      <c r="F31" s="600"/>
      <c r="G31" s="223" t="s">
        <v>7</v>
      </c>
      <c r="H31" s="224" t="s">
        <v>9</v>
      </c>
      <c r="I31" s="225">
        <v>140</v>
      </c>
      <c r="J31" s="225">
        <v>243</v>
      </c>
      <c r="K31" s="130"/>
      <c r="L31" s="131"/>
      <c r="M31" s="131"/>
      <c r="N31" s="132"/>
      <c r="O31" s="130"/>
      <c r="P31" s="131"/>
      <c r="Q31" s="131"/>
      <c r="R31" s="132"/>
      <c r="S31" s="130"/>
      <c r="T31" s="131"/>
      <c r="U31" s="131"/>
      <c r="V31" s="132"/>
      <c r="W31" s="130"/>
      <c r="X31" s="131"/>
      <c r="Y31" s="131"/>
      <c r="Z31" s="132"/>
      <c r="AA31" s="130"/>
      <c r="AB31" s="131"/>
      <c r="AC31" s="131"/>
      <c r="AD31" s="132"/>
      <c r="AE31" s="130"/>
      <c r="AF31" s="131"/>
      <c r="AG31" s="131"/>
      <c r="AH31" s="132"/>
      <c r="AI31" s="130"/>
      <c r="AJ31" s="131"/>
      <c r="AK31" s="131"/>
      <c r="AL31" s="132"/>
      <c r="AM31" s="130"/>
      <c r="AN31" s="134">
        <f>IF(ISNUMBER(FIND(AM$13,$G31)),$I31,IF(ISNUMBER(FIND(AM$13,$H31)),$J31,""))</f>
        <v>140</v>
      </c>
      <c r="AO31" s="131"/>
      <c r="AP31" s="132"/>
      <c r="AQ31" s="130"/>
      <c r="AR31" s="131"/>
      <c r="AS31" s="131"/>
      <c r="AT31" s="132"/>
      <c r="AU31" s="130"/>
      <c r="AV31" s="134">
        <f>IF(ISNUMBER(FIND(AU$13,$G31)),$I31,IF(ISNUMBER(FIND(AU$13,$H31)),$J31,""))</f>
        <v>243</v>
      </c>
      <c r="AW31" s="131"/>
      <c r="AX31" s="132"/>
      <c r="AY31" s="130"/>
      <c r="AZ31" s="131"/>
      <c r="BA31" s="131"/>
      <c r="BB31" s="132"/>
      <c r="BC31" s="130"/>
      <c r="BD31" s="131"/>
      <c r="BE31" s="131"/>
      <c r="BF31" s="132"/>
    </row>
    <row r="32" spans="2:70" x14ac:dyDescent="0.3">
      <c r="B32" s="754"/>
      <c r="C32" s="564"/>
      <c r="D32" s="745" t="s">
        <v>247</v>
      </c>
      <c r="E32" s="725" t="s">
        <v>17</v>
      </c>
      <c r="F32" s="726"/>
      <c r="G32" s="217" t="s">
        <v>0</v>
      </c>
      <c r="H32" s="218" t="s">
        <v>4</v>
      </c>
      <c r="I32" s="201">
        <f>I24/MAX($I24:$J24)*210</f>
        <v>162.13953488372093</v>
      </c>
      <c r="J32" s="202">
        <f t="shared" ref="J32:J39" si="1">J24/MAX($I24:$J24)*210</f>
        <v>210</v>
      </c>
      <c r="K32" s="147"/>
      <c r="L32" s="148">
        <f>L24/MAX($K24:$BF24)*210</f>
        <v>162.13953488372093</v>
      </c>
      <c r="M32" s="149"/>
      <c r="N32" s="150"/>
      <c r="O32" s="147"/>
      <c r="P32" s="149"/>
      <c r="Q32" s="149"/>
      <c r="R32" s="150"/>
      <c r="S32" s="147"/>
      <c r="T32" s="149"/>
      <c r="U32" s="149"/>
      <c r="V32" s="150"/>
      <c r="W32" s="147"/>
      <c r="X32" s="149"/>
      <c r="Y32" s="149"/>
      <c r="Z32" s="150"/>
      <c r="AA32" s="147"/>
      <c r="AB32" s="148">
        <f>AB24/MAX($K24:$BF24)*210</f>
        <v>210</v>
      </c>
      <c r="AC32" s="149"/>
      <c r="AD32" s="150"/>
      <c r="AE32" s="147"/>
      <c r="AF32" s="149"/>
      <c r="AG32" s="149"/>
      <c r="AH32" s="150"/>
      <c r="AI32" s="147"/>
      <c r="AJ32" s="149"/>
      <c r="AK32" s="149"/>
      <c r="AL32" s="150"/>
      <c r="AM32" s="147"/>
      <c r="AN32" s="149"/>
      <c r="AO32" s="149"/>
      <c r="AP32" s="150"/>
      <c r="AQ32" s="147"/>
      <c r="AR32" s="149"/>
      <c r="AS32" s="149"/>
      <c r="AT32" s="150"/>
      <c r="AU32" s="147"/>
      <c r="AV32" s="149"/>
      <c r="AW32" s="149"/>
      <c r="AX32" s="150"/>
      <c r="AY32" s="147"/>
      <c r="AZ32" s="149"/>
      <c r="BA32" s="149"/>
      <c r="BB32" s="150"/>
      <c r="BC32" s="147"/>
      <c r="BD32" s="149"/>
      <c r="BE32" s="149"/>
      <c r="BF32" s="150"/>
    </row>
    <row r="33" spans="2:70" x14ac:dyDescent="0.3">
      <c r="B33" s="754"/>
      <c r="C33" s="564"/>
      <c r="D33" s="746"/>
      <c r="E33" s="599" t="s">
        <v>18</v>
      </c>
      <c r="F33" s="600"/>
      <c r="G33" s="220" t="s">
        <v>6</v>
      </c>
      <c r="H33" s="221" t="s">
        <v>11</v>
      </c>
      <c r="I33" s="203">
        <f t="shared" ref="I33" si="2">I25/MAX($I25:$J25)*210</f>
        <v>175.46666666666667</v>
      </c>
      <c r="J33" s="204">
        <f t="shared" si="1"/>
        <v>210</v>
      </c>
      <c r="K33" s="151"/>
      <c r="L33" s="152"/>
      <c r="M33" s="152"/>
      <c r="N33" s="153"/>
      <c r="O33" s="151"/>
      <c r="P33" s="152"/>
      <c r="Q33" s="152"/>
      <c r="R33" s="153"/>
      <c r="S33" s="151"/>
      <c r="T33" s="152"/>
      <c r="U33" s="152"/>
      <c r="V33" s="153"/>
      <c r="W33" s="151"/>
      <c r="X33" s="152"/>
      <c r="Y33" s="152"/>
      <c r="Z33" s="153"/>
      <c r="AA33" s="151"/>
      <c r="AB33" s="152"/>
      <c r="AC33" s="152"/>
      <c r="AD33" s="153"/>
      <c r="AE33" s="151"/>
      <c r="AF33" s="152"/>
      <c r="AG33" s="152"/>
      <c r="AH33" s="153"/>
      <c r="AI33" s="151"/>
      <c r="AJ33" s="154">
        <f>AJ25/MAX($K25:$BF25)*210</f>
        <v>175.46666666666667</v>
      </c>
      <c r="AK33" s="152"/>
      <c r="AL33" s="153"/>
      <c r="AM33" s="151"/>
      <c r="AN33" s="152"/>
      <c r="AO33" s="152"/>
      <c r="AP33" s="153"/>
      <c r="AQ33" s="151"/>
      <c r="AR33" s="152"/>
      <c r="AS33" s="152"/>
      <c r="AT33" s="153"/>
      <c r="AU33" s="151"/>
      <c r="AV33" s="152"/>
      <c r="AW33" s="152"/>
      <c r="AX33" s="153"/>
      <c r="AY33" s="151"/>
      <c r="AZ33" s="152"/>
      <c r="BA33" s="152"/>
      <c r="BB33" s="153"/>
      <c r="BC33" s="151"/>
      <c r="BD33" s="154">
        <f>BD25/MAX($K25:$BF25)*210</f>
        <v>210</v>
      </c>
      <c r="BE33" s="152"/>
      <c r="BF33" s="153"/>
    </row>
    <row r="34" spans="2:70" x14ac:dyDescent="0.3">
      <c r="B34" s="754"/>
      <c r="C34" s="564"/>
      <c r="D34" s="746"/>
      <c r="E34" s="599" t="s">
        <v>19</v>
      </c>
      <c r="F34" s="600"/>
      <c r="G34" s="220" t="s">
        <v>1</v>
      </c>
      <c r="H34" s="221" t="s">
        <v>7</v>
      </c>
      <c r="I34" s="203">
        <f t="shared" ref="I34" si="3">I26/MAX($I26:$J26)*210</f>
        <v>184.05405405405406</v>
      </c>
      <c r="J34" s="204">
        <f t="shared" si="1"/>
        <v>210</v>
      </c>
      <c r="K34" s="151"/>
      <c r="L34" s="152"/>
      <c r="M34" s="152"/>
      <c r="N34" s="153"/>
      <c r="O34" s="151"/>
      <c r="P34" s="154">
        <f>P26/MAX($K26:$BF26)*210</f>
        <v>184.05405405405406</v>
      </c>
      <c r="Q34" s="152"/>
      <c r="R34" s="153"/>
      <c r="S34" s="151"/>
      <c r="T34" s="152"/>
      <c r="U34" s="152"/>
      <c r="V34" s="153"/>
      <c r="W34" s="151"/>
      <c r="X34" s="152"/>
      <c r="Y34" s="152"/>
      <c r="Z34" s="153"/>
      <c r="AA34" s="151"/>
      <c r="AB34" s="152"/>
      <c r="AC34" s="152"/>
      <c r="AD34" s="153"/>
      <c r="AE34" s="151"/>
      <c r="AF34" s="152"/>
      <c r="AG34" s="152"/>
      <c r="AH34" s="153"/>
      <c r="AI34" s="151"/>
      <c r="AJ34" s="152"/>
      <c r="AK34" s="152"/>
      <c r="AL34" s="153"/>
      <c r="AM34" s="151"/>
      <c r="AN34" s="154">
        <f>AN26/MAX($K26:$BF26)*210</f>
        <v>210</v>
      </c>
      <c r="AO34" s="152"/>
      <c r="AP34" s="153"/>
      <c r="AQ34" s="151"/>
      <c r="AR34" s="152"/>
      <c r="AS34" s="152"/>
      <c r="AT34" s="153"/>
      <c r="AU34" s="151"/>
      <c r="AV34" s="152"/>
      <c r="AW34" s="152"/>
      <c r="AX34" s="153"/>
      <c r="AY34" s="151"/>
      <c r="AZ34" s="152"/>
      <c r="BA34" s="152"/>
      <c r="BB34" s="153"/>
      <c r="BC34" s="151"/>
      <c r="BD34" s="152"/>
      <c r="BE34" s="152"/>
      <c r="BF34" s="153"/>
    </row>
    <row r="35" spans="2:70" x14ac:dyDescent="0.3">
      <c r="B35" s="754"/>
      <c r="C35" s="564"/>
      <c r="D35" s="746"/>
      <c r="E35" s="599" t="s">
        <v>20</v>
      </c>
      <c r="F35" s="600"/>
      <c r="G35" s="220" t="s">
        <v>2</v>
      </c>
      <c r="H35" s="221" t="s">
        <v>7</v>
      </c>
      <c r="I35" s="203">
        <f t="shared" ref="I35" si="4">I27/MAX($I27:$J27)*210</f>
        <v>210</v>
      </c>
      <c r="J35" s="204">
        <f t="shared" si="1"/>
        <v>86.313559322033896</v>
      </c>
      <c r="K35" s="151"/>
      <c r="L35" s="152"/>
      <c r="M35" s="152"/>
      <c r="N35" s="153"/>
      <c r="O35" s="151"/>
      <c r="P35" s="152"/>
      <c r="Q35" s="152"/>
      <c r="R35" s="153"/>
      <c r="S35" s="151"/>
      <c r="T35" s="154">
        <f>T27/MAX($K27:$BF27)*210</f>
        <v>210</v>
      </c>
      <c r="U35" s="152"/>
      <c r="V35" s="153"/>
      <c r="W35" s="151"/>
      <c r="X35" s="152"/>
      <c r="Y35" s="152"/>
      <c r="Z35" s="153"/>
      <c r="AA35" s="151"/>
      <c r="AB35" s="152"/>
      <c r="AC35" s="152"/>
      <c r="AD35" s="153"/>
      <c r="AE35" s="151"/>
      <c r="AF35" s="152"/>
      <c r="AG35" s="152"/>
      <c r="AH35" s="153"/>
      <c r="AI35" s="151"/>
      <c r="AJ35" s="152"/>
      <c r="AK35" s="152"/>
      <c r="AL35" s="153"/>
      <c r="AM35" s="151"/>
      <c r="AN35" s="154">
        <f>AN27/MAX($K27:$BF27)*210</f>
        <v>86.313559322033896</v>
      </c>
      <c r="AO35" s="152"/>
      <c r="AP35" s="153"/>
      <c r="AQ35" s="151"/>
      <c r="AR35" s="152"/>
      <c r="AS35" s="152"/>
      <c r="AT35" s="153"/>
      <c r="AU35" s="151"/>
      <c r="AV35" s="152"/>
      <c r="AW35" s="152"/>
      <c r="AX35" s="153"/>
      <c r="AY35" s="151"/>
      <c r="AZ35" s="152"/>
      <c r="BA35" s="152"/>
      <c r="BB35" s="153"/>
      <c r="BC35" s="151"/>
      <c r="BD35" s="152"/>
      <c r="BE35" s="152"/>
      <c r="BF35" s="153"/>
    </row>
    <row r="36" spans="2:70" x14ac:dyDescent="0.3">
      <c r="B36" s="754"/>
      <c r="C36" s="564"/>
      <c r="D36" s="746"/>
      <c r="E36" s="599" t="s">
        <v>21</v>
      </c>
      <c r="F36" s="600"/>
      <c r="G36" s="220" t="s">
        <v>6</v>
      </c>
      <c r="H36" s="221" t="s">
        <v>8</v>
      </c>
      <c r="I36" s="203">
        <f t="shared" ref="I36" si="5">I28/MAX($I28:$J28)*210</f>
        <v>210</v>
      </c>
      <c r="J36" s="204">
        <f t="shared" si="1"/>
        <v>188.64406779661019</v>
      </c>
      <c r="K36" s="151"/>
      <c r="L36" s="152"/>
      <c r="M36" s="152"/>
      <c r="N36" s="153"/>
      <c r="O36" s="151"/>
      <c r="P36" s="152"/>
      <c r="Q36" s="152"/>
      <c r="R36" s="153"/>
      <c r="S36" s="151"/>
      <c r="T36" s="152"/>
      <c r="U36" s="152"/>
      <c r="V36" s="153"/>
      <c r="W36" s="151"/>
      <c r="X36" s="152"/>
      <c r="Y36" s="152"/>
      <c r="Z36" s="153"/>
      <c r="AA36" s="151"/>
      <c r="AB36" s="152"/>
      <c r="AC36" s="152"/>
      <c r="AD36" s="153"/>
      <c r="AE36" s="151"/>
      <c r="AF36" s="152"/>
      <c r="AG36" s="152"/>
      <c r="AH36" s="153"/>
      <c r="AI36" s="151"/>
      <c r="AJ36" s="154">
        <f>AJ28/MAX($K28:$BF28)*210</f>
        <v>210</v>
      </c>
      <c r="AK36" s="152"/>
      <c r="AL36" s="153"/>
      <c r="AM36" s="151"/>
      <c r="AN36" s="152"/>
      <c r="AO36" s="152"/>
      <c r="AP36" s="153"/>
      <c r="AQ36" s="151"/>
      <c r="AR36" s="154">
        <f>AR28/MAX($K28:$BF28)*210</f>
        <v>188.64406779661019</v>
      </c>
      <c r="AS36" s="152"/>
      <c r="AT36" s="153"/>
      <c r="AU36" s="151"/>
      <c r="AV36" s="152"/>
      <c r="AW36" s="152"/>
      <c r="AX36" s="153"/>
      <c r="AY36" s="151"/>
      <c r="AZ36" s="152"/>
      <c r="BA36" s="152"/>
      <c r="BB36" s="153"/>
      <c r="BC36" s="151"/>
      <c r="BD36" s="152"/>
      <c r="BE36" s="152"/>
      <c r="BF36" s="153"/>
    </row>
    <row r="37" spans="2:70" x14ac:dyDescent="0.3">
      <c r="B37" s="754"/>
      <c r="C37" s="564"/>
      <c r="D37" s="746"/>
      <c r="E37" s="599" t="s">
        <v>22</v>
      </c>
      <c r="F37" s="600"/>
      <c r="G37" s="220" t="s">
        <v>3</v>
      </c>
      <c r="H37" s="221" t="s">
        <v>5</v>
      </c>
      <c r="I37" s="203">
        <f t="shared" ref="I37" si="6">I29/MAX($I29:$J29)*210</f>
        <v>157.65395894428153</v>
      </c>
      <c r="J37" s="204">
        <f t="shared" si="1"/>
        <v>210</v>
      </c>
      <c r="K37" s="151"/>
      <c r="L37" s="152"/>
      <c r="M37" s="152"/>
      <c r="N37" s="153"/>
      <c r="O37" s="151"/>
      <c r="P37" s="152"/>
      <c r="Q37" s="152"/>
      <c r="R37" s="153"/>
      <c r="S37" s="151"/>
      <c r="T37" s="152"/>
      <c r="U37" s="152"/>
      <c r="V37" s="153"/>
      <c r="W37" s="151"/>
      <c r="X37" s="154">
        <f>X29/MAX($K29:$BF29)*210</f>
        <v>157.65395894428153</v>
      </c>
      <c r="Y37" s="152"/>
      <c r="Z37" s="153"/>
      <c r="AA37" s="151"/>
      <c r="AB37" s="152"/>
      <c r="AC37" s="152"/>
      <c r="AD37" s="153"/>
      <c r="AE37" s="151"/>
      <c r="AF37" s="154">
        <f>AF29/MAX($K29:$BF29)*210</f>
        <v>210</v>
      </c>
      <c r="AG37" s="152"/>
      <c r="AH37" s="153"/>
      <c r="AI37" s="151"/>
      <c r="AJ37" s="152"/>
      <c r="AK37" s="152"/>
      <c r="AL37" s="153"/>
      <c r="AM37" s="151"/>
      <c r="AN37" s="152"/>
      <c r="AO37" s="152"/>
      <c r="AP37" s="153"/>
      <c r="AQ37" s="151"/>
      <c r="AR37" s="152"/>
      <c r="AS37" s="152"/>
      <c r="AT37" s="153"/>
      <c r="AU37" s="151"/>
      <c r="AV37" s="152"/>
      <c r="AW37" s="152"/>
      <c r="AX37" s="153"/>
      <c r="AY37" s="151"/>
      <c r="AZ37" s="152"/>
      <c r="BA37" s="152"/>
      <c r="BB37" s="153"/>
      <c r="BC37" s="151"/>
      <c r="BD37" s="152"/>
      <c r="BE37" s="152"/>
      <c r="BF37" s="153"/>
    </row>
    <row r="38" spans="2:70" x14ac:dyDescent="0.3">
      <c r="B38" s="754"/>
      <c r="C38" s="564"/>
      <c r="D38" s="746"/>
      <c r="E38" s="599" t="s">
        <v>23</v>
      </c>
      <c r="F38" s="600"/>
      <c r="G38" s="220" t="s">
        <v>2</v>
      </c>
      <c r="H38" s="221" t="s">
        <v>9</v>
      </c>
      <c r="I38" s="203">
        <f t="shared" ref="I38" si="7">I30/MAX($I30:$J30)*210</f>
        <v>210</v>
      </c>
      <c r="J38" s="204">
        <f t="shared" si="1"/>
        <v>180.25751072961373</v>
      </c>
      <c r="K38" s="151"/>
      <c r="L38" s="152"/>
      <c r="M38" s="152"/>
      <c r="N38" s="153"/>
      <c r="O38" s="151"/>
      <c r="P38" s="152"/>
      <c r="Q38" s="152"/>
      <c r="R38" s="153"/>
      <c r="S38" s="151"/>
      <c r="T38" s="154">
        <f>T30/MAX($K30:$BF30)*210</f>
        <v>210</v>
      </c>
      <c r="U38" s="152"/>
      <c r="V38" s="153"/>
      <c r="W38" s="151"/>
      <c r="X38" s="152"/>
      <c r="Y38" s="152"/>
      <c r="Z38" s="153"/>
      <c r="AA38" s="151"/>
      <c r="AB38" s="152"/>
      <c r="AC38" s="152"/>
      <c r="AD38" s="153"/>
      <c r="AE38" s="151"/>
      <c r="AF38" s="152"/>
      <c r="AG38" s="152"/>
      <c r="AH38" s="153"/>
      <c r="AI38" s="151"/>
      <c r="AJ38" s="152"/>
      <c r="AK38" s="152"/>
      <c r="AL38" s="153"/>
      <c r="AM38" s="151"/>
      <c r="AN38" s="152"/>
      <c r="AO38" s="152"/>
      <c r="AP38" s="153"/>
      <c r="AQ38" s="151"/>
      <c r="AR38" s="152"/>
      <c r="AS38" s="152"/>
      <c r="AT38" s="153"/>
      <c r="AU38" s="151"/>
      <c r="AV38" s="154">
        <f>AV30/MAX($K30:$BF30)*210</f>
        <v>180.25751072961373</v>
      </c>
      <c r="AW38" s="152"/>
      <c r="AX38" s="153"/>
      <c r="AY38" s="151"/>
      <c r="AZ38" s="152"/>
      <c r="BA38" s="152"/>
      <c r="BB38" s="153"/>
      <c r="BC38" s="151"/>
      <c r="BD38" s="152"/>
      <c r="BE38" s="152"/>
      <c r="BF38" s="153"/>
    </row>
    <row r="39" spans="2:70" ht="14.5" thickBot="1" x14ac:dyDescent="0.35">
      <c r="B39" s="754"/>
      <c r="C39" s="564"/>
      <c r="D39" s="746"/>
      <c r="E39" s="599" t="s">
        <v>24</v>
      </c>
      <c r="F39" s="600"/>
      <c r="G39" s="223" t="s">
        <v>7</v>
      </c>
      <c r="H39" s="224" t="s">
        <v>9</v>
      </c>
      <c r="I39" s="267">
        <f t="shared" ref="I39" si="8">I31/MAX($I31:$J31)*210</f>
        <v>120.98765432098766</v>
      </c>
      <c r="J39" s="268">
        <f t="shared" si="1"/>
        <v>210</v>
      </c>
      <c r="K39" s="155"/>
      <c r="L39" s="156"/>
      <c r="M39" s="156"/>
      <c r="N39" s="157"/>
      <c r="O39" s="155"/>
      <c r="P39" s="156"/>
      <c r="Q39" s="156"/>
      <c r="R39" s="157"/>
      <c r="S39" s="155"/>
      <c r="T39" s="156"/>
      <c r="U39" s="156"/>
      <c r="V39" s="157"/>
      <c r="W39" s="155"/>
      <c r="X39" s="156"/>
      <c r="Y39" s="156"/>
      <c r="Z39" s="157"/>
      <c r="AA39" s="155"/>
      <c r="AB39" s="156"/>
      <c r="AC39" s="156"/>
      <c r="AD39" s="157"/>
      <c r="AE39" s="155"/>
      <c r="AF39" s="156"/>
      <c r="AG39" s="156"/>
      <c r="AH39" s="157"/>
      <c r="AI39" s="155"/>
      <c r="AJ39" s="158"/>
      <c r="AK39" s="156"/>
      <c r="AL39" s="157"/>
      <c r="AM39" s="155"/>
      <c r="AN39" s="159">
        <f>AN31/MAX($K31:$BE31)*210</f>
        <v>120.98765432098766</v>
      </c>
      <c r="AO39" s="156"/>
      <c r="AP39" s="157"/>
      <c r="AQ39" s="155"/>
      <c r="AR39" s="156"/>
      <c r="AS39" s="156"/>
      <c r="AT39" s="157"/>
      <c r="AU39" s="155"/>
      <c r="AV39" s="160">
        <f>AV31/MAX($K31:$BF31)*210</f>
        <v>210</v>
      </c>
      <c r="AW39" s="156"/>
      <c r="AX39" s="157"/>
      <c r="AY39" s="155"/>
      <c r="AZ39" s="156"/>
      <c r="BA39" s="156"/>
      <c r="BB39" s="157"/>
      <c r="BC39" s="155"/>
      <c r="BD39" s="156"/>
      <c r="BE39" s="156"/>
      <c r="BF39" s="157"/>
    </row>
    <row r="40" spans="2:70" ht="15" customHeight="1" x14ac:dyDescent="0.3">
      <c r="B40" s="754"/>
      <c r="C40" s="564"/>
      <c r="D40" s="728" t="s">
        <v>246</v>
      </c>
      <c r="E40" s="601" t="s">
        <v>17</v>
      </c>
      <c r="F40" s="602"/>
      <c r="G40" s="226" t="s">
        <v>2</v>
      </c>
      <c r="H40" s="227" t="s">
        <v>6</v>
      </c>
      <c r="I40" s="228">
        <v>10</v>
      </c>
      <c r="J40" s="229">
        <v>14</v>
      </c>
      <c r="K40" s="161"/>
      <c r="L40" s="162"/>
      <c r="M40" s="162"/>
      <c r="N40" s="163"/>
      <c r="O40" s="164"/>
      <c r="P40" s="162"/>
      <c r="Q40" s="162"/>
      <c r="R40" s="163"/>
      <c r="S40" s="164"/>
      <c r="T40" s="162"/>
      <c r="U40" s="165">
        <f>IF(ISNUMBER(FIND(S$13,$G40)),$I40,IF(ISNUMBER(FIND(S$13,$H40)),$J40,""))</f>
        <v>10</v>
      </c>
      <c r="V40" s="163"/>
      <c r="W40" s="164"/>
      <c r="X40" s="162"/>
      <c r="Y40" s="162"/>
      <c r="Z40" s="163"/>
      <c r="AA40" s="164"/>
      <c r="AB40" s="162"/>
      <c r="AC40" s="162"/>
      <c r="AD40" s="163"/>
      <c r="AE40" s="164"/>
      <c r="AF40" s="162"/>
      <c r="AG40" s="162"/>
      <c r="AH40" s="163"/>
      <c r="AI40" s="164"/>
      <c r="AJ40" s="162"/>
      <c r="AK40" s="165">
        <f>IF(ISNUMBER(FIND(AI$13,$G40)),$I40,IF(ISNUMBER(FIND(AI$13,$H40)),$J40,""))</f>
        <v>14</v>
      </c>
      <c r="AL40" s="163"/>
      <c r="AM40" s="164"/>
      <c r="AN40" s="162"/>
      <c r="AO40" s="162"/>
      <c r="AP40" s="163"/>
      <c r="AQ40" s="164"/>
      <c r="AR40" s="162"/>
      <c r="AS40" s="162"/>
      <c r="AT40" s="163"/>
      <c r="AU40" s="164"/>
      <c r="AV40" s="162"/>
      <c r="AW40" s="162"/>
      <c r="AX40" s="163"/>
      <c r="AY40" s="164"/>
      <c r="AZ40" s="162"/>
      <c r="BA40" s="162"/>
      <c r="BB40" s="163"/>
      <c r="BC40" s="164"/>
      <c r="BD40" s="162"/>
      <c r="BE40" s="162"/>
      <c r="BF40" s="163"/>
      <c r="BH40">
        <v>9</v>
      </c>
      <c r="BI40" t="s">
        <v>35</v>
      </c>
      <c r="BL40" t="s">
        <v>40</v>
      </c>
      <c r="BN40" t="s">
        <v>50</v>
      </c>
      <c r="BP40" s="8" t="s">
        <v>58</v>
      </c>
      <c r="BR40" t="s">
        <v>65</v>
      </c>
    </row>
    <row r="41" spans="2:70" x14ac:dyDescent="0.3">
      <c r="B41" s="754"/>
      <c r="C41" s="564"/>
      <c r="D41" s="729"/>
      <c r="E41" s="603" t="s">
        <v>18</v>
      </c>
      <c r="F41" s="604"/>
      <c r="G41" s="230" t="s">
        <v>3</v>
      </c>
      <c r="H41" s="231" t="s">
        <v>8</v>
      </c>
      <c r="I41" s="228">
        <v>13</v>
      </c>
      <c r="J41" s="232">
        <v>14</v>
      </c>
      <c r="K41" s="166"/>
      <c r="L41" s="167"/>
      <c r="M41" s="167"/>
      <c r="N41" s="168"/>
      <c r="O41" s="169"/>
      <c r="P41" s="167"/>
      <c r="Q41" s="167"/>
      <c r="R41" s="168"/>
      <c r="S41" s="169"/>
      <c r="T41" s="167"/>
      <c r="U41" s="167"/>
      <c r="V41" s="168"/>
      <c r="W41" s="169"/>
      <c r="X41" s="167"/>
      <c r="Y41" s="170">
        <f>IF(ISNUMBER(FIND(W$13,$G41)),$I41,IF(ISNUMBER(FIND(W$13,$H41)),$J41,""))</f>
        <v>13</v>
      </c>
      <c r="Z41" s="168"/>
      <c r="AA41" s="169"/>
      <c r="AB41" s="167"/>
      <c r="AC41" s="167"/>
      <c r="AD41" s="168"/>
      <c r="AE41" s="169"/>
      <c r="AF41" s="167"/>
      <c r="AG41" s="167"/>
      <c r="AH41" s="168"/>
      <c r="AI41" s="169"/>
      <c r="AJ41" s="167"/>
      <c r="AK41" s="167"/>
      <c r="AL41" s="168"/>
      <c r="AM41" s="169"/>
      <c r="AN41" s="167"/>
      <c r="AO41" s="167"/>
      <c r="AP41" s="168"/>
      <c r="AQ41" s="169"/>
      <c r="AR41" s="167"/>
      <c r="AS41" s="170">
        <f>IF(ISNUMBER(FIND(AQ$13,$G41)),$I41,IF(ISNUMBER(FIND(AQ$13,$H41)),$J41,""))</f>
        <v>14</v>
      </c>
      <c r="AT41" s="168"/>
      <c r="AU41" s="169"/>
      <c r="AV41" s="167"/>
      <c r="AW41" s="167"/>
      <c r="AX41" s="168"/>
      <c r="AY41" s="169"/>
      <c r="AZ41" s="167"/>
      <c r="BA41" s="167"/>
      <c r="BB41" s="168"/>
      <c r="BC41" s="169"/>
      <c r="BD41" s="167"/>
      <c r="BE41" s="167"/>
      <c r="BF41" s="168"/>
      <c r="BH41">
        <v>4</v>
      </c>
      <c r="BI41" t="s">
        <v>30</v>
      </c>
      <c r="BL41" t="s">
        <v>41</v>
      </c>
      <c r="BN41" t="s">
        <v>51</v>
      </c>
      <c r="BP41" t="s">
        <v>59</v>
      </c>
      <c r="BR41" t="s">
        <v>66</v>
      </c>
    </row>
    <row r="42" spans="2:70" x14ac:dyDescent="0.3">
      <c r="B42" s="754"/>
      <c r="C42" s="564"/>
      <c r="D42" s="729"/>
      <c r="E42" s="603" t="s">
        <v>19</v>
      </c>
      <c r="F42" s="604"/>
      <c r="G42" s="230" t="s">
        <v>10</v>
      </c>
      <c r="H42" s="231" t="s">
        <v>11</v>
      </c>
      <c r="I42" s="228">
        <v>3</v>
      </c>
      <c r="J42" s="232">
        <v>14</v>
      </c>
      <c r="K42" s="166"/>
      <c r="L42" s="167"/>
      <c r="M42" s="167"/>
      <c r="N42" s="168"/>
      <c r="O42" s="169"/>
      <c r="P42" s="167"/>
      <c r="Q42" s="167"/>
      <c r="R42" s="168"/>
      <c r="S42" s="169"/>
      <c r="T42" s="167"/>
      <c r="U42" s="167"/>
      <c r="V42" s="168"/>
      <c r="W42" s="169"/>
      <c r="X42" s="167"/>
      <c r="Y42" s="167"/>
      <c r="Z42" s="168"/>
      <c r="AA42" s="169"/>
      <c r="AB42" s="167"/>
      <c r="AC42" s="167"/>
      <c r="AD42" s="168"/>
      <c r="AE42" s="169"/>
      <c r="AF42" s="167"/>
      <c r="AG42" s="167"/>
      <c r="AH42" s="168"/>
      <c r="AI42" s="169"/>
      <c r="AJ42" s="167"/>
      <c r="AK42" s="167"/>
      <c r="AL42" s="168"/>
      <c r="AM42" s="169"/>
      <c r="AN42" s="167"/>
      <c r="AO42" s="167"/>
      <c r="AP42" s="168"/>
      <c r="AQ42" s="169"/>
      <c r="AR42" s="167"/>
      <c r="AS42" s="167"/>
      <c r="AT42" s="168"/>
      <c r="AU42" s="169"/>
      <c r="AV42" s="167"/>
      <c r="AW42" s="167"/>
      <c r="AX42" s="168"/>
      <c r="AY42" s="169"/>
      <c r="AZ42" s="167"/>
      <c r="BA42" s="170">
        <f>IF(ISNUMBER(FIND(AY$13,$G42)),$I42,IF(ISNUMBER(FIND(AY$13,$H42)),$J42,""))</f>
        <v>3</v>
      </c>
      <c r="BB42" s="168"/>
      <c r="BC42" s="169"/>
      <c r="BD42" s="167"/>
      <c r="BE42" s="170">
        <f>IF(ISNUMBER(FIND(BC$13,$G42)),$I42,IF(ISNUMBER(FIND(BC$13,$H42)),$J42,""))</f>
        <v>14</v>
      </c>
      <c r="BF42" s="168"/>
      <c r="BH42">
        <f>BH40*BH41</f>
        <v>36</v>
      </c>
      <c r="BI42" t="s">
        <v>32</v>
      </c>
      <c r="BL42" t="s">
        <v>42</v>
      </c>
      <c r="BN42" t="s">
        <v>55</v>
      </c>
      <c r="BP42" t="s">
        <v>60</v>
      </c>
      <c r="BR42" t="s">
        <v>67</v>
      </c>
    </row>
    <row r="43" spans="2:70" x14ac:dyDescent="0.3">
      <c r="B43" s="754"/>
      <c r="C43" s="564"/>
      <c r="D43" s="729"/>
      <c r="E43" s="603" t="s">
        <v>20</v>
      </c>
      <c r="F43" s="604"/>
      <c r="G43" s="230" t="s">
        <v>1</v>
      </c>
      <c r="H43" s="231" t="s">
        <v>4</v>
      </c>
      <c r="I43" s="228">
        <v>7</v>
      </c>
      <c r="J43" s="232">
        <v>14</v>
      </c>
      <c r="K43" s="166"/>
      <c r="L43" s="167"/>
      <c r="M43" s="167"/>
      <c r="N43" s="168"/>
      <c r="O43" s="169"/>
      <c r="P43" s="167"/>
      <c r="Q43" s="170">
        <f>IF(ISNUMBER(FIND(O$13,$G43)),$I43,IF(ISNUMBER(FIND(O$13,$H43)),$J43,""))</f>
        <v>7</v>
      </c>
      <c r="R43" s="168"/>
      <c r="S43" s="169"/>
      <c r="T43" s="167"/>
      <c r="U43" s="167"/>
      <c r="V43" s="168"/>
      <c r="W43" s="169"/>
      <c r="X43" s="167"/>
      <c r="Y43" s="167"/>
      <c r="Z43" s="168"/>
      <c r="AA43" s="169"/>
      <c r="AB43" s="167"/>
      <c r="AC43" s="170">
        <f>IF(ISNUMBER(FIND(AA$13,$G43)),$I43,IF(ISNUMBER(FIND(AA$13,$H43)),$J43,""))</f>
        <v>14</v>
      </c>
      <c r="AD43" s="168"/>
      <c r="AE43" s="169"/>
      <c r="AF43" s="167"/>
      <c r="AG43" s="167"/>
      <c r="AH43" s="168"/>
      <c r="AI43" s="169"/>
      <c r="AJ43" s="167"/>
      <c r="AK43" s="167"/>
      <c r="AL43" s="168"/>
      <c r="AM43" s="169"/>
      <c r="AN43" s="167"/>
      <c r="AO43" s="167"/>
      <c r="AP43" s="168"/>
      <c r="AQ43" s="169"/>
      <c r="AR43" s="167"/>
      <c r="AS43" s="167"/>
      <c r="AT43" s="168"/>
      <c r="AU43" s="169"/>
      <c r="AV43" s="167"/>
      <c r="AW43" s="167"/>
      <c r="AX43" s="168"/>
      <c r="AY43" s="169"/>
      <c r="AZ43" s="167"/>
      <c r="BA43" s="167"/>
      <c r="BB43" s="168"/>
      <c r="BC43" s="169"/>
      <c r="BD43" s="167"/>
      <c r="BE43" s="167"/>
      <c r="BF43" s="168"/>
    </row>
    <row r="44" spans="2:70" x14ac:dyDescent="0.3">
      <c r="B44" s="754"/>
      <c r="C44" s="564"/>
      <c r="D44" s="729"/>
      <c r="E44" s="603" t="s">
        <v>21</v>
      </c>
      <c r="F44" s="604"/>
      <c r="G44" s="230" t="s">
        <v>0</v>
      </c>
      <c r="H44" s="231" t="s">
        <v>7</v>
      </c>
      <c r="I44" s="228">
        <v>10</v>
      </c>
      <c r="J44" s="232">
        <v>14</v>
      </c>
      <c r="K44" s="166"/>
      <c r="L44" s="167"/>
      <c r="M44" s="170">
        <f>IF(ISNUMBER(FIND(K$13,$G44)),$I44,IF(ISNUMBER(FIND(K$13,$H44)),$J44,""))</f>
        <v>10</v>
      </c>
      <c r="N44" s="168"/>
      <c r="O44" s="169"/>
      <c r="P44" s="167"/>
      <c r="Q44" s="167"/>
      <c r="R44" s="168"/>
      <c r="S44" s="169"/>
      <c r="T44" s="167"/>
      <c r="U44" s="167"/>
      <c r="V44" s="168"/>
      <c r="W44" s="169"/>
      <c r="X44" s="167"/>
      <c r="Y44" s="167"/>
      <c r="Z44" s="168"/>
      <c r="AA44" s="169"/>
      <c r="AB44" s="167"/>
      <c r="AC44" s="167"/>
      <c r="AD44" s="168"/>
      <c r="AE44" s="169"/>
      <c r="AF44" s="167"/>
      <c r="AG44" s="167"/>
      <c r="AH44" s="168"/>
      <c r="AI44" s="169"/>
      <c r="AJ44" s="167"/>
      <c r="AK44" s="167"/>
      <c r="AL44" s="168"/>
      <c r="AM44" s="169"/>
      <c r="AN44" s="167"/>
      <c r="AO44" s="170">
        <f>IF(ISNUMBER(FIND(AM$13,$G44)),$I44,IF(ISNUMBER(FIND(AM$13,$H44)),$J44,""))</f>
        <v>14</v>
      </c>
      <c r="AP44" s="168"/>
      <c r="AQ44" s="169"/>
      <c r="AR44" s="167"/>
      <c r="AS44" s="167"/>
      <c r="AT44" s="168"/>
      <c r="AU44" s="169"/>
      <c r="AV44" s="167"/>
      <c r="AW44" s="167"/>
      <c r="AX44" s="168"/>
      <c r="AY44" s="169"/>
      <c r="AZ44" s="167"/>
      <c r="BA44" s="167"/>
      <c r="BB44" s="168"/>
      <c r="BC44" s="169"/>
      <c r="BD44" s="167"/>
      <c r="BE44" s="167"/>
      <c r="BF44" s="168"/>
    </row>
    <row r="45" spans="2:70" x14ac:dyDescent="0.3">
      <c r="B45" s="754"/>
      <c r="C45" s="564"/>
      <c r="D45" s="729"/>
      <c r="E45" s="603" t="s">
        <v>22</v>
      </c>
      <c r="F45" s="604"/>
      <c r="G45" s="230" t="s">
        <v>4</v>
      </c>
      <c r="H45" s="231" t="s">
        <v>9</v>
      </c>
      <c r="I45" s="228">
        <v>14</v>
      </c>
      <c r="J45" s="232">
        <v>7</v>
      </c>
      <c r="K45" s="166"/>
      <c r="L45" s="167"/>
      <c r="M45" s="167"/>
      <c r="N45" s="168"/>
      <c r="O45" s="169"/>
      <c r="P45" s="167"/>
      <c r="Q45" s="167"/>
      <c r="R45" s="168"/>
      <c r="S45" s="169"/>
      <c r="T45" s="167"/>
      <c r="U45" s="167"/>
      <c r="V45" s="168"/>
      <c r="W45" s="169"/>
      <c r="X45" s="167"/>
      <c r="Y45" s="167"/>
      <c r="Z45" s="168"/>
      <c r="AA45" s="169"/>
      <c r="AB45" s="167"/>
      <c r="AC45" s="170">
        <f>IF(ISNUMBER(FIND(AA$13,$G45)),$I45,IF(ISNUMBER(FIND(AA$13,$H45)),$J45,""))</f>
        <v>14</v>
      </c>
      <c r="AD45" s="168"/>
      <c r="AE45" s="169"/>
      <c r="AF45" s="167"/>
      <c r="AG45" s="167"/>
      <c r="AH45" s="168"/>
      <c r="AI45" s="169"/>
      <c r="AJ45" s="167"/>
      <c r="AK45" s="167"/>
      <c r="AL45" s="168"/>
      <c r="AM45" s="169"/>
      <c r="AN45" s="167"/>
      <c r="AO45" s="167"/>
      <c r="AP45" s="168"/>
      <c r="AQ45" s="169"/>
      <c r="AR45" s="167"/>
      <c r="AS45" s="167"/>
      <c r="AT45" s="168"/>
      <c r="AU45" s="169"/>
      <c r="AV45" s="167"/>
      <c r="AW45" s="170">
        <f>IF(ISNUMBER(FIND(AU$13,$G45)),$I45,IF(ISNUMBER(FIND(AU$13,$H45)),$J45,""))</f>
        <v>7</v>
      </c>
      <c r="AX45" s="168"/>
      <c r="AY45" s="169"/>
      <c r="AZ45" s="167"/>
      <c r="BA45" s="167"/>
      <c r="BB45" s="168"/>
      <c r="BC45" s="169"/>
      <c r="BD45" s="167"/>
      <c r="BE45" s="167"/>
      <c r="BF45" s="168"/>
    </row>
    <row r="46" spans="2:70" x14ac:dyDescent="0.3">
      <c r="B46" s="754"/>
      <c r="C46" s="564"/>
      <c r="D46" s="729"/>
      <c r="E46" s="603" t="s">
        <v>23</v>
      </c>
      <c r="F46" s="604"/>
      <c r="G46" s="230" t="s">
        <v>1</v>
      </c>
      <c r="H46" s="231" t="s">
        <v>6</v>
      </c>
      <c r="I46" s="228">
        <v>14</v>
      </c>
      <c r="J46" s="232">
        <v>1</v>
      </c>
      <c r="K46" s="166"/>
      <c r="L46" s="167"/>
      <c r="M46" s="167"/>
      <c r="N46" s="168"/>
      <c r="O46" s="169"/>
      <c r="P46" s="167"/>
      <c r="Q46" s="170">
        <f>IF(ISNUMBER(FIND(O$13,$G46)),$I46,IF(ISNUMBER(FIND(O$13,$H46)),$J46,""))</f>
        <v>14</v>
      </c>
      <c r="R46" s="168"/>
      <c r="S46" s="169"/>
      <c r="T46" s="167"/>
      <c r="U46" s="167"/>
      <c r="V46" s="168"/>
      <c r="W46" s="169"/>
      <c r="X46" s="167"/>
      <c r="Y46" s="167"/>
      <c r="Z46" s="168"/>
      <c r="AA46" s="169"/>
      <c r="AB46" s="167"/>
      <c r="AC46" s="167"/>
      <c r="AD46" s="168"/>
      <c r="AE46" s="169"/>
      <c r="AF46" s="167"/>
      <c r="AG46" s="167"/>
      <c r="AH46" s="168"/>
      <c r="AI46" s="169"/>
      <c r="AJ46" s="167"/>
      <c r="AK46" s="170">
        <f>IF(ISNUMBER(FIND(AI$13,$G46)),$I46,IF(ISNUMBER(FIND(AI$13,$H46)),$J46,""))</f>
        <v>1</v>
      </c>
      <c r="AL46" s="168"/>
      <c r="AM46" s="169"/>
      <c r="AN46" s="167"/>
      <c r="AO46" s="167"/>
      <c r="AP46" s="168"/>
      <c r="AQ46" s="169"/>
      <c r="AR46" s="167"/>
      <c r="AS46" s="167"/>
      <c r="AT46" s="168"/>
      <c r="AU46" s="169"/>
      <c r="AV46" s="167"/>
      <c r="AW46" s="167"/>
      <c r="AX46" s="168"/>
      <c r="AY46" s="169"/>
      <c r="AZ46" s="167"/>
      <c r="BA46" s="167"/>
      <c r="BB46" s="168"/>
      <c r="BC46" s="169"/>
      <c r="BD46" s="167"/>
      <c r="BE46" s="167"/>
      <c r="BF46" s="168"/>
    </row>
    <row r="47" spans="2:70" ht="14.5" thickBot="1" x14ac:dyDescent="0.35">
      <c r="B47" s="754"/>
      <c r="C47" s="564"/>
      <c r="D47" s="729"/>
      <c r="E47" s="603" t="s">
        <v>24</v>
      </c>
      <c r="F47" s="604"/>
      <c r="G47" s="233" t="s">
        <v>5</v>
      </c>
      <c r="H47" s="234" t="s">
        <v>8</v>
      </c>
      <c r="I47" s="235">
        <v>4</v>
      </c>
      <c r="J47" s="236">
        <v>14</v>
      </c>
      <c r="K47" s="171"/>
      <c r="L47" s="172"/>
      <c r="M47" s="172"/>
      <c r="N47" s="157"/>
      <c r="O47" s="173"/>
      <c r="P47" s="172"/>
      <c r="Q47" s="172"/>
      <c r="R47" s="157"/>
      <c r="S47" s="173"/>
      <c r="T47" s="172"/>
      <c r="U47" s="172"/>
      <c r="V47" s="157"/>
      <c r="W47" s="173"/>
      <c r="X47" s="172"/>
      <c r="Y47" s="172"/>
      <c r="Z47" s="157"/>
      <c r="AA47" s="173"/>
      <c r="AB47" s="172"/>
      <c r="AC47" s="172"/>
      <c r="AD47" s="157"/>
      <c r="AE47" s="173"/>
      <c r="AF47" s="172"/>
      <c r="AG47" s="174">
        <f>IF(ISNUMBER(FIND(AE$13,$G47)),$I47,IF(ISNUMBER(FIND(AE$13,$H47)),$J47,""))</f>
        <v>4</v>
      </c>
      <c r="AH47" s="157"/>
      <c r="AI47" s="173"/>
      <c r="AJ47" s="172"/>
      <c r="AK47" s="172"/>
      <c r="AL47" s="157"/>
      <c r="AM47" s="173"/>
      <c r="AN47" s="172"/>
      <c r="AO47" s="172"/>
      <c r="AP47" s="157"/>
      <c r="AQ47" s="173"/>
      <c r="AR47" s="172"/>
      <c r="AS47" s="174">
        <f>IF(ISNUMBER(FIND(AQ$13,$G47)),$I47,IF(ISNUMBER(FIND(AQ$13,$H47)),$J47,""))</f>
        <v>14</v>
      </c>
      <c r="AT47" s="157"/>
      <c r="AU47" s="173"/>
      <c r="AV47" s="172"/>
      <c r="AW47" s="172"/>
      <c r="AX47" s="157"/>
      <c r="AY47" s="173"/>
      <c r="AZ47" s="172"/>
      <c r="BA47" s="172"/>
      <c r="BB47" s="157"/>
      <c r="BC47" s="173"/>
      <c r="BD47" s="172"/>
      <c r="BE47" s="172"/>
      <c r="BF47" s="157"/>
    </row>
    <row r="48" spans="2:70" ht="15" customHeight="1" x14ac:dyDescent="0.3">
      <c r="B48" s="754"/>
      <c r="C48" s="564"/>
      <c r="D48" s="578" t="s">
        <v>297</v>
      </c>
      <c r="E48" s="580" t="s">
        <v>17</v>
      </c>
      <c r="F48" s="581"/>
      <c r="G48" s="237" t="s">
        <v>1</v>
      </c>
      <c r="H48" s="238" t="s">
        <v>5</v>
      </c>
      <c r="I48" s="239">
        <v>20</v>
      </c>
      <c r="J48" s="239">
        <v>15</v>
      </c>
      <c r="K48" s="142"/>
      <c r="L48" s="143"/>
      <c r="M48" s="143"/>
      <c r="N48" s="146"/>
      <c r="O48" s="142"/>
      <c r="P48" s="143"/>
      <c r="Q48" s="143"/>
      <c r="R48" s="175">
        <f>IF(ISNUMBER(FIND(O$13,$G48)),$I48,IF(ISNUMBER(FIND(O$13,$H48)),$J48,""))</f>
        <v>20</v>
      </c>
      <c r="S48" s="142"/>
      <c r="T48" s="143"/>
      <c r="U48" s="143"/>
      <c r="V48" s="144"/>
      <c r="W48" s="142"/>
      <c r="X48" s="143"/>
      <c r="Y48" s="143"/>
      <c r="Z48" s="144"/>
      <c r="AA48" s="142"/>
      <c r="AB48" s="143"/>
      <c r="AC48" s="143"/>
      <c r="AD48" s="144"/>
      <c r="AE48" s="142"/>
      <c r="AF48" s="143"/>
      <c r="AG48" s="143"/>
      <c r="AH48" s="175">
        <f>IF(ISNUMBER(FIND(AE$13,$G48)),$I48,IF(ISNUMBER(FIND(AE$13,$H48)),$J48,""))</f>
        <v>15</v>
      </c>
      <c r="AI48" s="142"/>
      <c r="AJ48" s="143"/>
      <c r="AK48" s="143"/>
      <c r="AL48" s="144"/>
      <c r="AM48" s="142"/>
      <c r="AN48" s="143"/>
      <c r="AO48" s="143"/>
      <c r="AP48" s="144"/>
      <c r="AQ48" s="142"/>
      <c r="AR48" s="143"/>
      <c r="AS48" s="143"/>
      <c r="AT48" s="144"/>
      <c r="AU48" s="142"/>
      <c r="AV48" s="143"/>
      <c r="AW48" s="143"/>
      <c r="AX48" s="144"/>
      <c r="AY48" s="142"/>
      <c r="AZ48" s="143"/>
      <c r="BA48" s="143"/>
      <c r="BB48" s="144"/>
      <c r="BC48" s="142"/>
      <c r="BD48" s="143"/>
      <c r="BE48" s="143"/>
      <c r="BF48" s="144"/>
      <c r="BH48">
        <v>9</v>
      </c>
      <c r="BI48" t="s">
        <v>35</v>
      </c>
      <c r="BL48" t="s">
        <v>40</v>
      </c>
      <c r="BN48" t="s">
        <v>50</v>
      </c>
      <c r="BP48" s="8" t="s">
        <v>58</v>
      </c>
      <c r="BR48" t="s">
        <v>65</v>
      </c>
    </row>
    <row r="49" spans="2:70" x14ac:dyDescent="0.3">
      <c r="B49" s="754"/>
      <c r="C49" s="564"/>
      <c r="D49" s="579"/>
      <c r="E49" s="582" t="s">
        <v>18</v>
      </c>
      <c r="F49" s="583"/>
      <c r="G49" s="240" t="s">
        <v>2</v>
      </c>
      <c r="H49" s="241" t="s">
        <v>4</v>
      </c>
      <c r="I49" s="242">
        <v>25</v>
      </c>
      <c r="J49" s="242">
        <v>35</v>
      </c>
      <c r="K49" s="130"/>
      <c r="L49" s="131"/>
      <c r="M49" s="131"/>
      <c r="N49" s="135"/>
      <c r="O49" s="130"/>
      <c r="P49" s="131"/>
      <c r="Q49" s="131"/>
      <c r="R49" s="132"/>
      <c r="S49" s="130"/>
      <c r="T49" s="131"/>
      <c r="U49" s="131"/>
      <c r="V49" s="175">
        <f>IF(ISNUMBER(FIND(S$13,$G49)),$I49,IF(ISNUMBER(FIND(S$13,$H49)),$J49,""))</f>
        <v>25</v>
      </c>
      <c r="W49" s="130"/>
      <c r="X49" s="131"/>
      <c r="Y49" s="131"/>
      <c r="Z49" s="132"/>
      <c r="AA49" s="130"/>
      <c r="AB49" s="131"/>
      <c r="AC49" s="131"/>
      <c r="AD49" s="175">
        <f>IF(ISNUMBER(FIND(AA$13,$G49)),$I49,IF(ISNUMBER(FIND(AA$13,$H49)),$J49,""))</f>
        <v>35</v>
      </c>
      <c r="AE49" s="130"/>
      <c r="AF49" s="131"/>
      <c r="AG49" s="131"/>
      <c r="AH49" s="132"/>
      <c r="AI49" s="130"/>
      <c r="AJ49" s="131"/>
      <c r="AK49" s="131"/>
      <c r="AL49" s="132"/>
      <c r="AM49" s="130"/>
      <c r="AN49" s="131"/>
      <c r="AO49" s="131"/>
      <c r="AP49" s="132"/>
      <c r="AQ49" s="130"/>
      <c r="AR49" s="131"/>
      <c r="AS49" s="131"/>
      <c r="AT49" s="132"/>
      <c r="AU49" s="130"/>
      <c r="AV49" s="131"/>
      <c r="AW49" s="131"/>
      <c r="AX49" s="132"/>
      <c r="AY49" s="130"/>
      <c r="AZ49" s="131"/>
      <c r="BA49" s="131"/>
      <c r="BB49" s="132"/>
      <c r="BC49" s="130"/>
      <c r="BD49" s="131"/>
      <c r="BE49" s="131"/>
      <c r="BF49" s="132"/>
      <c r="BH49">
        <v>4</v>
      </c>
      <c r="BI49" t="s">
        <v>30</v>
      </c>
      <c r="BL49" t="s">
        <v>41</v>
      </c>
      <c r="BN49" t="s">
        <v>51</v>
      </c>
      <c r="BP49" t="s">
        <v>59</v>
      </c>
      <c r="BR49" t="s">
        <v>66</v>
      </c>
    </row>
    <row r="50" spans="2:70" x14ac:dyDescent="0.3">
      <c r="B50" s="754"/>
      <c r="C50" s="564"/>
      <c r="D50" s="579"/>
      <c r="E50" s="582" t="s">
        <v>19</v>
      </c>
      <c r="F50" s="583"/>
      <c r="G50" s="240" t="s">
        <v>5</v>
      </c>
      <c r="H50" s="241" t="s">
        <v>9</v>
      </c>
      <c r="I50" s="242">
        <v>45</v>
      </c>
      <c r="J50" s="242">
        <v>36</v>
      </c>
      <c r="K50" s="130"/>
      <c r="L50" s="131"/>
      <c r="M50" s="131"/>
      <c r="N50" s="135"/>
      <c r="O50" s="130"/>
      <c r="P50" s="131"/>
      <c r="Q50" s="131"/>
      <c r="R50" s="132"/>
      <c r="S50" s="130"/>
      <c r="T50" s="131"/>
      <c r="U50" s="131"/>
      <c r="V50" s="132"/>
      <c r="W50" s="130"/>
      <c r="X50" s="131"/>
      <c r="Y50" s="131"/>
      <c r="Z50" s="132"/>
      <c r="AA50" s="130"/>
      <c r="AB50" s="131"/>
      <c r="AC50" s="131"/>
      <c r="AD50" s="132"/>
      <c r="AE50" s="130"/>
      <c r="AF50" s="131"/>
      <c r="AG50" s="131"/>
      <c r="AH50" s="175">
        <f>IF(ISNUMBER(FIND(AE$13,$G50)),$I50,IF(ISNUMBER(FIND(AE$13,$H50)),$J50,""))</f>
        <v>45</v>
      </c>
      <c r="AI50" s="130"/>
      <c r="AJ50" s="131"/>
      <c r="AK50" s="131"/>
      <c r="AL50" s="132"/>
      <c r="AM50" s="130"/>
      <c r="AN50" s="131"/>
      <c r="AO50" s="131"/>
      <c r="AP50" s="132"/>
      <c r="AQ50" s="130"/>
      <c r="AR50" s="131"/>
      <c r="AS50" s="131"/>
      <c r="AT50" s="132"/>
      <c r="AU50" s="130"/>
      <c r="AV50" s="131"/>
      <c r="AW50" s="131"/>
      <c r="AX50" s="175">
        <f>IF(ISNUMBER(FIND(AU$13,$G50)),$I50,IF(ISNUMBER(FIND(AU$13,$H50)),$J50,""))</f>
        <v>36</v>
      </c>
      <c r="AY50" s="130"/>
      <c r="AZ50" s="131"/>
      <c r="BA50" s="131"/>
      <c r="BB50" s="132"/>
      <c r="BC50" s="130"/>
      <c r="BD50" s="131"/>
      <c r="BE50" s="131"/>
      <c r="BF50" s="132"/>
      <c r="BH50">
        <f>BH48*BH49</f>
        <v>36</v>
      </c>
      <c r="BI50" t="s">
        <v>32</v>
      </c>
      <c r="BL50" t="s">
        <v>42</v>
      </c>
      <c r="BN50" t="s">
        <v>55</v>
      </c>
      <c r="BP50" t="s">
        <v>60</v>
      </c>
      <c r="BR50" t="s">
        <v>67</v>
      </c>
    </row>
    <row r="51" spans="2:70" x14ac:dyDescent="0.3">
      <c r="B51" s="754"/>
      <c r="C51" s="564"/>
      <c r="D51" s="579"/>
      <c r="E51" s="582" t="s">
        <v>20</v>
      </c>
      <c r="F51" s="583"/>
      <c r="G51" s="240" t="s">
        <v>0</v>
      </c>
      <c r="H51" s="241" t="s">
        <v>8</v>
      </c>
      <c r="I51" s="242">
        <v>54</v>
      </c>
      <c r="J51" s="242">
        <v>48</v>
      </c>
      <c r="K51" s="130"/>
      <c r="L51" s="131"/>
      <c r="M51" s="131"/>
      <c r="N51" s="175">
        <f>IF(ISNUMBER(FIND(K$13,$G51)),$I51,IF(ISNUMBER(FIND(K$13,$H51)),$J51,""))</f>
        <v>54</v>
      </c>
      <c r="O51" s="130"/>
      <c r="P51" s="131"/>
      <c r="Q51" s="131"/>
      <c r="R51" s="132"/>
      <c r="S51" s="130"/>
      <c r="T51" s="131"/>
      <c r="U51" s="131"/>
      <c r="V51" s="132"/>
      <c r="W51" s="130"/>
      <c r="X51" s="131"/>
      <c r="Y51" s="131"/>
      <c r="Z51" s="132"/>
      <c r="AA51" s="130"/>
      <c r="AB51" s="131"/>
      <c r="AC51" s="131"/>
      <c r="AD51" s="132"/>
      <c r="AE51" s="130"/>
      <c r="AF51" s="131"/>
      <c r="AG51" s="131"/>
      <c r="AH51" s="132"/>
      <c r="AI51" s="130"/>
      <c r="AJ51" s="131"/>
      <c r="AK51" s="131"/>
      <c r="AL51" s="132"/>
      <c r="AM51" s="130"/>
      <c r="AN51" s="131"/>
      <c r="AO51" s="131"/>
      <c r="AP51" s="132"/>
      <c r="AQ51" s="130"/>
      <c r="AR51" s="131"/>
      <c r="AS51" s="131"/>
      <c r="AT51" s="175">
        <f>IF(ISNUMBER(FIND(AQ$13,$G51)),$I51,IF(ISNUMBER(FIND(AQ$13,$H51)),$J51,""))</f>
        <v>48</v>
      </c>
      <c r="AU51" s="130"/>
      <c r="AV51" s="131"/>
      <c r="AW51" s="131"/>
      <c r="AX51" s="132"/>
      <c r="AY51" s="130"/>
      <c r="AZ51" s="131"/>
      <c r="BA51" s="131"/>
      <c r="BB51" s="132"/>
      <c r="BC51" s="130"/>
      <c r="BD51" s="131"/>
      <c r="BE51" s="131"/>
      <c r="BF51" s="132"/>
    </row>
    <row r="52" spans="2:70" x14ac:dyDescent="0.3">
      <c r="B52" s="754"/>
      <c r="C52" s="564"/>
      <c r="D52" s="579"/>
      <c r="E52" s="582" t="s">
        <v>21</v>
      </c>
      <c r="F52" s="583"/>
      <c r="G52" s="240" t="s">
        <v>3</v>
      </c>
      <c r="H52" s="241" t="s">
        <v>9</v>
      </c>
      <c r="I52" s="242">
        <v>66</v>
      </c>
      <c r="J52" s="242">
        <v>44</v>
      </c>
      <c r="K52" s="130"/>
      <c r="L52" s="131"/>
      <c r="M52" s="131"/>
      <c r="N52" s="135"/>
      <c r="O52" s="130"/>
      <c r="P52" s="131"/>
      <c r="Q52" s="131"/>
      <c r="R52" s="132"/>
      <c r="S52" s="130"/>
      <c r="T52" s="131"/>
      <c r="U52" s="131"/>
      <c r="V52" s="132"/>
      <c r="W52" s="130"/>
      <c r="X52" s="131"/>
      <c r="Y52" s="131"/>
      <c r="Z52" s="175">
        <f>IF(ISNUMBER(FIND(W$13,$G52)),$I52,IF(ISNUMBER(FIND(W$13,$H52)),$J52,""))</f>
        <v>66</v>
      </c>
      <c r="AA52" s="130"/>
      <c r="AB52" s="131"/>
      <c r="AC52" s="131"/>
      <c r="AD52" s="132"/>
      <c r="AE52" s="130"/>
      <c r="AF52" s="131"/>
      <c r="AG52" s="131"/>
      <c r="AH52" s="132"/>
      <c r="AI52" s="130"/>
      <c r="AJ52" s="131"/>
      <c r="AK52" s="131"/>
      <c r="AL52" s="132"/>
      <c r="AM52" s="130"/>
      <c r="AN52" s="131"/>
      <c r="AO52" s="131"/>
      <c r="AP52" s="132"/>
      <c r="AQ52" s="130"/>
      <c r="AR52" s="131"/>
      <c r="AS52" s="131"/>
      <c r="AT52" s="132"/>
      <c r="AU52" s="130"/>
      <c r="AV52" s="131"/>
      <c r="AW52" s="131"/>
      <c r="AX52" s="175">
        <f>IF(ISNUMBER(FIND(AU$13,$G52)),$I52,IF(ISNUMBER(FIND(AU$13,$H52)),$J52,""))</f>
        <v>44</v>
      </c>
      <c r="AY52" s="130"/>
      <c r="AZ52" s="131"/>
      <c r="BA52" s="131"/>
      <c r="BB52" s="132"/>
      <c r="BC52" s="130"/>
      <c r="BD52" s="131"/>
      <c r="BE52" s="131"/>
      <c r="BF52" s="132"/>
    </row>
    <row r="53" spans="2:70" x14ac:dyDescent="0.3">
      <c r="B53" s="754"/>
      <c r="C53" s="564"/>
      <c r="D53" s="579"/>
      <c r="E53" s="582" t="s">
        <v>22</v>
      </c>
      <c r="F53" s="583"/>
      <c r="G53" s="240" t="s">
        <v>6</v>
      </c>
      <c r="H53" s="241" t="s">
        <v>10</v>
      </c>
      <c r="I53" s="242">
        <v>53</v>
      </c>
      <c r="J53" s="242">
        <v>44</v>
      </c>
      <c r="K53" s="130"/>
      <c r="L53" s="131"/>
      <c r="M53" s="131"/>
      <c r="N53" s="135"/>
      <c r="O53" s="130"/>
      <c r="P53" s="131"/>
      <c r="Q53" s="131"/>
      <c r="R53" s="132"/>
      <c r="S53" s="130"/>
      <c r="T53" s="131"/>
      <c r="U53" s="131"/>
      <c r="V53" s="132"/>
      <c r="W53" s="130"/>
      <c r="X53" s="131"/>
      <c r="Y53" s="131"/>
      <c r="Z53" s="132"/>
      <c r="AA53" s="130"/>
      <c r="AB53" s="131"/>
      <c r="AC53" s="131"/>
      <c r="AD53" s="132"/>
      <c r="AE53" s="130"/>
      <c r="AF53" s="131"/>
      <c r="AG53" s="131"/>
      <c r="AH53" s="132"/>
      <c r="AI53" s="130"/>
      <c r="AJ53" s="131"/>
      <c r="AK53" s="131"/>
      <c r="AL53" s="175">
        <f>IF(ISNUMBER(FIND(AI$13,$G53)),$I53,IF(ISNUMBER(FIND(AI$13,$H53)),$J53,""))</f>
        <v>53</v>
      </c>
      <c r="AM53" s="130"/>
      <c r="AN53" s="131"/>
      <c r="AO53" s="131"/>
      <c r="AP53" s="132"/>
      <c r="AQ53" s="130"/>
      <c r="AR53" s="131"/>
      <c r="AS53" s="131"/>
      <c r="AT53" s="132"/>
      <c r="AU53" s="130"/>
      <c r="AV53" s="131"/>
      <c r="AW53" s="131"/>
      <c r="AX53" s="132"/>
      <c r="AY53" s="130"/>
      <c r="AZ53" s="131"/>
      <c r="BA53" s="131"/>
      <c r="BB53" s="175">
        <f>IF(ISNUMBER(FIND(AY$13,$G53)),$I53,IF(ISNUMBER(FIND(AY$13,$H53)),$J53,""))</f>
        <v>44</v>
      </c>
      <c r="BC53" s="130"/>
      <c r="BD53" s="131"/>
      <c r="BE53" s="131"/>
      <c r="BF53" s="132"/>
    </row>
    <row r="54" spans="2:70" x14ac:dyDescent="0.3">
      <c r="B54" s="754"/>
      <c r="C54" s="564"/>
      <c r="D54" s="579"/>
      <c r="E54" s="582" t="s">
        <v>23</v>
      </c>
      <c r="F54" s="583"/>
      <c r="G54" s="240" t="s">
        <v>3</v>
      </c>
      <c r="H54" s="241" t="s">
        <v>7</v>
      </c>
      <c r="I54" s="242">
        <v>69</v>
      </c>
      <c r="J54" s="242">
        <v>39</v>
      </c>
      <c r="K54" s="130"/>
      <c r="L54" s="131"/>
      <c r="M54" s="131"/>
      <c r="N54" s="135"/>
      <c r="O54" s="130"/>
      <c r="P54" s="131"/>
      <c r="Q54" s="131"/>
      <c r="R54" s="132"/>
      <c r="S54" s="130"/>
      <c r="T54" s="131"/>
      <c r="U54" s="131"/>
      <c r="V54" s="132"/>
      <c r="W54" s="130"/>
      <c r="X54" s="131"/>
      <c r="Y54" s="131"/>
      <c r="Z54" s="175">
        <f>IF(ISNUMBER(FIND(W$13,$G54)),$I54,IF(ISNUMBER(FIND(W$13,$H54)),$J54,""))</f>
        <v>69</v>
      </c>
      <c r="AA54" s="130"/>
      <c r="AB54" s="131"/>
      <c r="AC54" s="131"/>
      <c r="AD54" s="132"/>
      <c r="AE54" s="130"/>
      <c r="AF54" s="131"/>
      <c r="AG54" s="131"/>
      <c r="AH54" s="132"/>
      <c r="AI54" s="130"/>
      <c r="AJ54" s="131"/>
      <c r="AK54" s="131"/>
      <c r="AL54" s="132"/>
      <c r="AM54" s="130"/>
      <c r="AN54" s="131"/>
      <c r="AO54" s="131"/>
      <c r="AP54" s="175">
        <f>IF(ISNUMBER(FIND(AM$13,$G54)),$I54,IF(ISNUMBER(FIND(AM$13,$H54)),$J54,""))</f>
        <v>39</v>
      </c>
      <c r="AQ54" s="130"/>
      <c r="AR54" s="131"/>
      <c r="AS54" s="131"/>
      <c r="AT54" s="132"/>
      <c r="AU54" s="130"/>
      <c r="AV54" s="131"/>
      <c r="AW54" s="131"/>
      <c r="AX54" s="132"/>
      <c r="AY54" s="130"/>
      <c r="AZ54" s="131"/>
      <c r="BA54" s="131"/>
      <c r="BB54" s="132"/>
      <c r="BC54" s="130"/>
      <c r="BD54" s="131"/>
      <c r="BE54" s="131"/>
      <c r="BF54" s="132"/>
    </row>
    <row r="55" spans="2:70" ht="14.5" thickBot="1" x14ac:dyDescent="0.35">
      <c r="B55" s="754"/>
      <c r="C55" s="564"/>
      <c r="D55" s="579"/>
      <c r="E55" s="582" t="s">
        <v>24</v>
      </c>
      <c r="F55" s="583"/>
      <c r="G55" s="243" t="s">
        <v>0</v>
      </c>
      <c r="H55" s="244" t="s">
        <v>11</v>
      </c>
      <c r="I55" s="245">
        <v>78</v>
      </c>
      <c r="J55" s="245">
        <v>57</v>
      </c>
      <c r="K55" s="136"/>
      <c r="L55" s="137"/>
      <c r="M55" s="137"/>
      <c r="N55" s="175">
        <f>IF(ISNUMBER(FIND(K$13,$G55)),$I55,IF(ISNUMBER(FIND(K$13,$H55)),$J55,""))</f>
        <v>78</v>
      </c>
      <c r="O55" s="136"/>
      <c r="P55" s="137"/>
      <c r="Q55" s="137"/>
      <c r="R55" s="138"/>
      <c r="S55" s="136"/>
      <c r="T55" s="137"/>
      <c r="U55" s="137"/>
      <c r="V55" s="138"/>
      <c r="W55" s="136"/>
      <c r="X55" s="137"/>
      <c r="Y55" s="137"/>
      <c r="Z55" s="138"/>
      <c r="AA55" s="136"/>
      <c r="AB55" s="137"/>
      <c r="AC55" s="137"/>
      <c r="AD55" s="138"/>
      <c r="AE55" s="136"/>
      <c r="AF55" s="137"/>
      <c r="AG55" s="137"/>
      <c r="AH55" s="138"/>
      <c r="AI55" s="136"/>
      <c r="AJ55" s="137"/>
      <c r="AK55" s="137"/>
      <c r="AL55" s="138"/>
      <c r="AM55" s="136"/>
      <c r="AN55" s="137"/>
      <c r="AO55" s="137"/>
      <c r="AP55" s="138"/>
      <c r="AQ55" s="136"/>
      <c r="AR55" s="137"/>
      <c r="AS55" s="137"/>
      <c r="AT55" s="138"/>
      <c r="AU55" s="136"/>
      <c r="AV55" s="137"/>
      <c r="AW55" s="137"/>
      <c r="AX55" s="138"/>
      <c r="AY55" s="136"/>
      <c r="AZ55" s="137"/>
      <c r="BA55" s="137"/>
      <c r="BB55" s="138"/>
      <c r="BC55" s="136"/>
      <c r="BD55" s="137"/>
      <c r="BE55" s="137"/>
      <c r="BF55" s="175">
        <f>IF(ISNUMBER(FIND(BC$13,$G55)),$I55,IF(ISNUMBER(FIND(BC$13,$H55)),$J55,""))</f>
        <v>57</v>
      </c>
    </row>
    <row r="56" spans="2:70" x14ac:dyDescent="0.3">
      <c r="B56" s="754"/>
      <c r="C56" s="564"/>
      <c r="D56" s="578" t="s">
        <v>298</v>
      </c>
      <c r="E56" s="580" t="s">
        <v>17</v>
      </c>
      <c r="F56" s="581"/>
      <c r="G56" s="237" t="s">
        <v>1</v>
      </c>
      <c r="H56" s="238" t="s">
        <v>5</v>
      </c>
      <c r="I56" s="201">
        <f>I48/MAX($I48:$J48)*14</f>
        <v>14</v>
      </c>
      <c r="J56" s="202">
        <f t="shared" ref="J56:J63" si="9">J48/MAX($I48:$J48)*14</f>
        <v>10.5</v>
      </c>
      <c r="K56" s="142"/>
      <c r="L56" s="143"/>
      <c r="M56" s="143"/>
      <c r="N56" s="146"/>
      <c r="O56" s="142"/>
      <c r="P56" s="143"/>
      <c r="Q56" s="143"/>
      <c r="R56" s="175">
        <f>R48/MAX($K48:$BE48)*14</f>
        <v>14</v>
      </c>
      <c r="S56" s="142"/>
      <c r="T56" s="143"/>
      <c r="U56" s="143"/>
      <c r="V56" s="144"/>
      <c r="W56" s="142"/>
      <c r="X56" s="143"/>
      <c r="Y56" s="143"/>
      <c r="Z56" s="144"/>
      <c r="AA56" s="142"/>
      <c r="AB56" s="143"/>
      <c r="AC56" s="143"/>
      <c r="AD56" s="144"/>
      <c r="AE56" s="142"/>
      <c r="AF56" s="143"/>
      <c r="AG56" s="143"/>
      <c r="AH56" s="175">
        <f>AH48/MAX($K48:$BE48)*14</f>
        <v>10.5</v>
      </c>
      <c r="AI56" s="142"/>
      <c r="AJ56" s="143"/>
      <c r="AK56" s="143"/>
      <c r="AL56" s="144"/>
      <c r="AM56" s="142"/>
      <c r="AN56" s="143"/>
      <c r="AO56" s="143"/>
      <c r="AP56" s="144"/>
      <c r="AQ56" s="142"/>
      <c r="AR56" s="143"/>
      <c r="AS56" s="143"/>
      <c r="AT56" s="144"/>
      <c r="AU56" s="142"/>
      <c r="AV56" s="143"/>
      <c r="AW56" s="143"/>
      <c r="AX56" s="144"/>
      <c r="AY56" s="142"/>
      <c r="AZ56" s="143"/>
      <c r="BA56" s="143"/>
      <c r="BB56" s="144"/>
      <c r="BC56" s="142"/>
      <c r="BD56" s="143"/>
      <c r="BE56" s="143"/>
      <c r="BF56" s="144"/>
    </row>
    <row r="57" spans="2:70" x14ac:dyDescent="0.3">
      <c r="B57" s="754"/>
      <c r="C57" s="564"/>
      <c r="D57" s="579"/>
      <c r="E57" s="582" t="s">
        <v>18</v>
      </c>
      <c r="F57" s="583"/>
      <c r="G57" s="240" t="s">
        <v>2</v>
      </c>
      <c r="H57" s="241" t="s">
        <v>4</v>
      </c>
      <c r="I57" s="203">
        <f t="shared" ref="I57" si="10">I49/MAX($I49:$J49)*14</f>
        <v>10</v>
      </c>
      <c r="J57" s="204">
        <f t="shared" si="9"/>
        <v>14</v>
      </c>
      <c r="K57" s="130"/>
      <c r="L57" s="131"/>
      <c r="M57" s="131"/>
      <c r="N57" s="135"/>
      <c r="O57" s="130"/>
      <c r="P57" s="131"/>
      <c r="Q57" s="131"/>
      <c r="R57" s="132"/>
      <c r="S57" s="130"/>
      <c r="T57" s="131"/>
      <c r="U57" s="131"/>
      <c r="V57" s="175">
        <f>V49/MAX($K49:$BE49)*14</f>
        <v>10</v>
      </c>
      <c r="W57" s="130"/>
      <c r="X57" s="131"/>
      <c r="Y57" s="131"/>
      <c r="Z57" s="132"/>
      <c r="AA57" s="130"/>
      <c r="AB57" s="131"/>
      <c r="AC57" s="131"/>
      <c r="AD57" s="175">
        <f>AD49/MAX($K49:$BE49)*14</f>
        <v>14</v>
      </c>
      <c r="AE57" s="130"/>
      <c r="AF57" s="131"/>
      <c r="AG57" s="131"/>
      <c r="AH57" s="132"/>
      <c r="AI57" s="130"/>
      <c r="AJ57" s="131"/>
      <c r="AK57" s="131"/>
      <c r="AL57" s="132"/>
      <c r="AM57" s="130"/>
      <c r="AN57" s="131"/>
      <c r="AO57" s="131"/>
      <c r="AP57" s="132"/>
      <c r="AQ57" s="130"/>
      <c r="AR57" s="131"/>
      <c r="AS57" s="131"/>
      <c r="AT57" s="132"/>
      <c r="AU57" s="130"/>
      <c r="AV57" s="131"/>
      <c r="AW57" s="131"/>
      <c r="AX57" s="132"/>
      <c r="AY57" s="130"/>
      <c r="AZ57" s="131"/>
      <c r="BA57" s="131"/>
      <c r="BB57" s="132"/>
      <c r="BC57" s="130"/>
      <c r="BD57" s="131"/>
      <c r="BE57" s="131"/>
      <c r="BF57" s="132"/>
    </row>
    <row r="58" spans="2:70" x14ac:dyDescent="0.3">
      <c r="B58" s="754"/>
      <c r="C58" s="564"/>
      <c r="D58" s="579"/>
      <c r="E58" s="582" t="s">
        <v>19</v>
      </c>
      <c r="F58" s="583"/>
      <c r="G58" s="240" t="s">
        <v>5</v>
      </c>
      <c r="H58" s="241" t="s">
        <v>9</v>
      </c>
      <c r="I58" s="203">
        <f t="shared" ref="I58" si="11">I50/MAX($I50:$J50)*14</f>
        <v>14</v>
      </c>
      <c r="J58" s="204">
        <f t="shared" si="9"/>
        <v>11.200000000000001</v>
      </c>
      <c r="K58" s="130"/>
      <c r="L58" s="131"/>
      <c r="M58" s="131"/>
      <c r="N58" s="135"/>
      <c r="O58" s="130"/>
      <c r="P58" s="131"/>
      <c r="Q58" s="131"/>
      <c r="R58" s="132"/>
      <c r="S58" s="130"/>
      <c r="T58" s="131"/>
      <c r="U58" s="131"/>
      <c r="V58" s="132"/>
      <c r="W58" s="130"/>
      <c r="X58" s="131"/>
      <c r="Y58" s="131"/>
      <c r="Z58" s="132"/>
      <c r="AA58" s="130"/>
      <c r="AB58" s="131"/>
      <c r="AC58" s="131"/>
      <c r="AD58" s="132"/>
      <c r="AE58" s="130"/>
      <c r="AF58" s="131"/>
      <c r="AG58" s="131"/>
      <c r="AH58" s="175">
        <f>AH50/MAX($K50:$BE50)*14</f>
        <v>14</v>
      </c>
      <c r="AI58" s="130"/>
      <c r="AJ58" s="131"/>
      <c r="AK58" s="131"/>
      <c r="AL58" s="132"/>
      <c r="AM58" s="130"/>
      <c r="AN58" s="131"/>
      <c r="AO58" s="131"/>
      <c r="AP58" s="132"/>
      <c r="AQ58" s="130"/>
      <c r="AR58" s="131"/>
      <c r="AS58" s="131"/>
      <c r="AT58" s="132"/>
      <c r="AU58" s="130"/>
      <c r="AV58" s="131"/>
      <c r="AW58" s="131"/>
      <c r="AX58" s="175">
        <f>AX50/MAX($K50:$BE50)*14</f>
        <v>11.200000000000001</v>
      </c>
      <c r="AY58" s="130"/>
      <c r="AZ58" s="131"/>
      <c r="BA58" s="131"/>
      <c r="BB58" s="132"/>
      <c r="BC58" s="130"/>
      <c r="BD58" s="131"/>
      <c r="BE58" s="131"/>
      <c r="BF58" s="132"/>
    </row>
    <row r="59" spans="2:70" x14ac:dyDescent="0.3">
      <c r="B59" s="754"/>
      <c r="C59" s="564"/>
      <c r="D59" s="579"/>
      <c r="E59" s="582" t="s">
        <v>20</v>
      </c>
      <c r="F59" s="583"/>
      <c r="G59" s="240" t="s">
        <v>0</v>
      </c>
      <c r="H59" s="241" t="s">
        <v>8</v>
      </c>
      <c r="I59" s="203">
        <f t="shared" ref="I59" si="12">I51/MAX($I51:$J51)*14</f>
        <v>14</v>
      </c>
      <c r="J59" s="204">
        <f t="shared" si="9"/>
        <v>12.444444444444443</v>
      </c>
      <c r="K59" s="130"/>
      <c r="L59" s="131"/>
      <c r="M59" s="131"/>
      <c r="N59" s="175">
        <f>N51/MAX($K51:$BE51)*14</f>
        <v>14</v>
      </c>
      <c r="O59" s="130"/>
      <c r="P59" s="131"/>
      <c r="Q59" s="131"/>
      <c r="R59" s="132"/>
      <c r="S59" s="130"/>
      <c r="T59" s="131"/>
      <c r="U59" s="131"/>
      <c r="V59" s="132"/>
      <c r="W59" s="130"/>
      <c r="X59" s="131"/>
      <c r="Y59" s="131"/>
      <c r="Z59" s="132"/>
      <c r="AA59" s="130"/>
      <c r="AB59" s="131"/>
      <c r="AC59" s="131"/>
      <c r="AD59" s="132"/>
      <c r="AE59" s="130"/>
      <c r="AF59" s="131"/>
      <c r="AG59" s="131"/>
      <c r="AH59" s="132"/>
      <c r="AI59" s="130"/>
      <c r="AJ59" s="131"/>
      <c r="AK59" s="131"/>
      <c r="AL59" s="132"/>
      <c r="AM59" s="130"/>
      <c r="AN59" s="131"/>
      <c r="AO59" s="131"/>
      <c r="AP59" s="132"/>
      <c r="AQ59" s="130"/>
      <c r="AR59" s="131"/>
      <c r="AS59" s="131"/>
      <c r="AT59" s="175">
        <f>AT51/MAX($K51:$BE51)*14</f>
        <v>12.444444444444443</v>
      </c>
      <c r="AU59" s="130"/>
      <c r="AV59" s="131"/>
      <c r="AW59" s="131"/>
      <c r="AX59" s="132"/>
      <c r="AY59" s="130"/>
      <c r="AZ59" s="131"/>
      <c r="BA59" s="131"/>
      <c r="BB59" s="132"/>
      <c r="BC59" s="130"/>
      <c r="BD59" s="131"/>
      <c r="BE59" s="131"/>
      <c r="BF59" s="132"/>
    </row>
    <row r="60" spans="2:70" x14ac:dyDescent="0.3">
      <c r="B60" s="754"/>
      <c r="C60" s="564"/>
      <c r="D60" s="579"/>
      <c r="E60" s="582" t="s">
        <v>21</v>
      </c>
      <c r="F60" s="583"/>
      <c r="G60" s="240" t="s">
        <v>3</v>
      </c>
      <c r="H60" s="241" t="s">
        <v>9</v>
      </c>
      <c r="I60" s="203">
        <f t="shared" ref="I60" si="13">I52/MAX($I52:$J52)*14</f>
        <v>14</v>
      </c>
      <c r="J60" s="204">
        <f t="shared" si="9"/>
        <v>9.3333333333333321</v>
      </c>
      <c r="K60" s="130"/>
      <c r="L60" s="131"/>
      <c r="M60" s="131"/>
      <c r="N60" s="135"/>
      <c r="O60" s="130"/>
      <c r="P60" s="131"/>
      <c r="Q60" s="131"/>
      <c r="R60" s="132"/>
      <c r="S60" s="130"/>
      <c r="T60" s="131"/>
      <c r="U60" s="131"/>
      <c r="V60" s="132"/>
      <c r="W60" s="130"/>
      <c r="X60" s="131"/>
      <c r="Y60" s="131"/>
      <c r="Z60" s="175">
        <f>Z52/MAX($K52:$BE52)*14</f>
        <v>14</v>
      </c>
      <c r="AA60" s="130"/>
      <c r="AB60" s="131"/>
      <c r="AC60" s="131"/>
      <c r="AD60" s="132"/>
      <c r="AE60" s="130"/>
      <c r="AF60" s="131"/>
      <c r="AG60" s="131"/>
      <c r="AH60" s="132"/>
      <c r="AI60" s="130"/>
      <c r="AJ60" s="131"/>
      <c r="AK60" s="131"/>
      <c r="AL60" s="132"/>
      <c r="AM60" s="130"/>
      <c r="AN60" s="131"/>
      <c r="AO60" s="131"/>
      <c r="AP60" s="132"/>
      <c r="AQ60" s="130"/>
      <c r="AR60" s="131"/>
      <c r="AS60" s="131"/>
      <c r="AT60" s="132"/>
      <c r="AU60" s="130"/>
      <c r="AV60" s="131"/>
      <c r="AW60" s="131"/>
      <c r="AX60" s="175">
        <f>AX52/MAX($K52:$BE52)*14</f>
        <v>9.3333333333333321</v>
      </c>
      <c r="AY60" s="130"/>
      <c r="AZ60" s="131"/>
      <c r="BA60" s="131"/>
      <c r="BB60" s="132"/>
      <c r="BC60" s="130"/>
      <c r="BD60" s="131"/>
      <c r="BE60" s="131"/>
      <c r="BF60" s="132"/>
    </row>
    <row r="61" spans="2:70" x14ac:dyDescent="0.3">
      <c r="B61" s="754"/>
      <c r="C61" s="564"/>
      <c r="D61" s="579"/>
      <c r="E61" s="582" t="s">
        <v>22</v>
      </c>
      <c r="F61" s="583"/>
      <c r="G61" s="240" t="s">
        <v>6</v>
      </c>
      <c r="H61" s="241" t="s">
        <v>10</v>
      </c>
      <c r="I61" s="203">
        <f t="shared" ref="I61" si="14">I53/MAX($I53:$J53)*14</f>
        <v>14</v>
      </c>
      <c r="J61" s="204">
        <f t="shared" si="9"/>
        <v>11.622641509433963</v>
      </c>
      <c r="K61" s="130"/>
      <c r="L61" s="131"/>
      <c r="M61" s="131"/>
      <c r="N61" s="135"/>
      <c r="O61" s="130"/>
      <c r="P61" s="131"/>
      <c r="Q61" s="131"/>
      <c r="R61" s="132"/>
      <c r="S61" s="130"/>
      <c r="T61" s="131"/>
      <c r="U61" s="131"/>
      <c r="V61" s="132"/>
      <c r="W61" s="130"/>
      <c r="X61" s="131"/>
      <c r="Y61" s="131"/>
      <c r="Z61" s="132"/>
      <c r="AA61" s="130"/>
      <c r="AB61" s="131"/>
      <c r="AC61" s="131"/>
      <c r="AD61" s="132"/>
      <c r="AE61" s="130"/>
      <c r="AF61" s="131"/>
      <c r="AG61" s="131"/>
      <c r="AH61" s="132"/>
      <c r="AI61" s="130"/>
      <c r="AJ61" s="131"/>
      <c r="AK61" s="131"/>
      <c r="AL61" s="175">
        <f>AL53/MAX($K53:$BE53)*14</f>
        <v>14</v>
      </c>
      <c r="AM61" s="130"/>
      <c r="AN61" s="131"/>
      <c r="AO61" s="131"/>
      <c r="AP61" s="132"/>
      <c r="AQ61" s="130"/>
      <c r="AR61" s="131"/>
      <c r="AS61" s="131"/>
      <c r="AT61" s="132"/>
      <c r="AU61" s="130"/>
      <c r="AV61" s="131"/>
      <c r="AW61" s="131"/>
      <c r="AX61" s="132"/>
      <c r="AY61" s="130"/>
      <c r="AZ61" s="131"/>
      <c r="BA61" s="131"/>
      <c r="BB61" s="175">
        <f>BB53/MAX($K53:$BE53)*14</f>
        <v>11.622641509433963</v>
      </c>
      <c r="BC61" s="130"/>
      <c r="BD61" s="131"/>
      <c r="BE61" s="131"/>
      <c r="BF61" s="132"/>
    </row>
    <row r="62" spans="2:70" x14ac:dyDescent="0.3">
      <c r="B62" s="754"/>
      <c r="C62" s="564"/>
      <c r="D62" s="579"/>
      <c r="E62" s="582" t="s">
        <v>23</v>
      </c>
      <c r="F62" s="583"/>
      <c r="G62" s="240" t="s">
        <v>3</v>
      </c>
      <c r="H62" s="241" t="s">
        <v>7</v>
      </c>
      <c r="I62" s="203">
        <f t="shared" ref="I62" si="15">I54/MAX($I54:$J54)*14</f>
        <v>14</v>
      </c>
      <c r="J62" s="204">
        <f t="shared" si="9"/>
        <v>7.9130434782608692</v>
      </c>
      <c r="K62" s="130"/>
      <c r="L62" s="131"/>
      <c r="M62" s="131"/>
      <c r="N62" s="135"/>
      <c r="O62" s="130"/>
      <c r="P62" s="131"/>
      <c r="Q62" s="131"/>
      <c r="R62" s="132"/>
      <c r="S62" s="130"/>
      <c r="T62" s="131"/>
      <c r="U62" s="131"/>
      <c r="V62" s="132"/>
      <c r="W62" s="130"/>
      <c r="X62" s="131"/>
      <c r="Y62" s="131"/>
      <c r="Z62" s="175">
        <f>Z54/MAX($K54:$BE54)*14</f>
        <v>14</v>
      </c>
      <c r="AA62" s="130"/>
      <c r="AB62" s="131"/>
      <c r="AC62" s="131"/>
      <c r="AD62" s="132"/>
      <c r="AE62" s="130"/>
      <c r="AF62" s="131"/>
      <c r="AG62" s="131"/>
      <c r="AH62" s="132"/>
      <c r="AI62" s="130"/>
      <c r="AJ62" s="131"/>
      <c r="AK62" s="131"/>
      <c r="AL62" s="132"/>
      <c r="AM62" s="130"/>
      <c r="AN62" s="131"/>
      <c r="AO62" s="131"/>
      <c r="AP62" s="175">
        <f>AP54/MAX($K54:$BE54)*14</f>
        <v>7.9130434782608692</v>
      </c>
      <c r="AQ62" s="130"/>
      <c r="AR62" s="131"/>
      <c r="AS62" s="131"/>
      <c r="AT62" s="132"/>
      <c r="AU62" s="130"/>
      <c r="AV62" s="131"/>
      <c r="AW62" s="131"/>
      <c r="AX62" s="132"/>
      <c r="AY62" s="130"/>
      <c r="AZ62" s="131"/>
      <c r="BA62" s="131"/>
      <c r="BB62" s="132"/>
      <c r="BC62" s="130"/>
      <c r="BD62" s="131"/>
      <c r="BE62" s="131"/>
      <c r="BF62" s="132"/>
    </row>
    <row r="63" spans="2:70" ht="14.5" thickBot="1" x14ac:dyDescent="0.35">
      <c r="B63" s="754"/>
      <c r="C63" s="565"/>
      <c r="D63" s="579"/>
      <c r="E63" s="582" t="s">
        <v>24</v>
      </c>
      <c r="F63" s="583"/>
      <c r="G63" s="243" t="s">
        <v>0</v>
      </c>
      <c r="H63" s="244" t="s">
        <v>11</v>
      </c>
      <c r="I63" s="267">
        <f t="shared" ref="I63" si="16">I55/MAX($I55:$J55)*14</f>
        <v>14</v>
      </c>
      <c r="J63" s="268">
        <f t="shared" si="9"/>
        <v>10.23076923076923</v>
      </c>
      <c r="K63" s="136"/>
      <c r="L63" s="137"/>
      <c r="M63" s="137"/>
      <c r="N63" s="175">
        <f>N55/MAX($K55:$BE55)*14</f>
        <v>14</v>
      </c>
      <c r="O63" s="136"/>
      <c r="P63" s="137"/>
      <c r="Q63" s="137"/>
      <c r="R63" s="138"/>
      <c r="S63" s="136"/>
      <c r="T63" s="137"/>
      <c r="U63" s="137"/>
      <c r="V63" s="138"/>
      <c r="W63" s="136"/>
      <c r="X63" s="137"/>
      <c r="Y63" s="137"/>
      <c r="Z63" s="138"/>
      <c r="AA63" s="136"/>
      <c r="AB63" s="137"/>
      <c r="AC63" s="137"/>
      <c r="AD63" s="138"/>
      <c r="AE63" s="136"/>
      <c r="AF63" s="137"/>
      <c r="AG63" s="137"/>
      <c r="AH63" s="138"/>
      <c r="AI63" s="136"/>
      <c r="AJ63" s="137"/>
      <c r="AK63" s="137"/>
      <c r="AL63" s="138"/>
      <c r="AM63" s="136"/>
      <c r="AN63" s="137"/>
      <c r="AO63" s="137"/>
      <c r="AP63" s="138"/>
      <c r="AQ63" s="136"/>
      <c r="AR63" s="137"/>
      <c r="AS63" s="137"/>
      <c r="AT63" s="138"/>
      <c r="AU63" s="136"/>
      <c r="AV63" s="137"/>
      <c r="AW63" s="137"/>
      <c r="AX63" s="138"/>
      <c r="AY63" s="136"/>
      <c r="AZ63" s="137"/>
      <c r="BA63" s="137"/>
      <c r="BB63" s="138"/>
      <c r="BC63" s="136"/>
      <c r="BD63" s="137"/>
      <c r="BE63" s="137"/>
      <c r="BF63" s="175">
        <f>BF55/MAX($K55:$BF55)*14</f>
        <v>10.23076923076923</v>
      </c>
    </row>
    <row r="64" spans="2:70" ht="15" customHeight="1" thickBot="1" x14ac:dyDescent="0.35">
      <c r="B64" s="754"/>
      <c r="C64" s="563" t="s">
        <v>25</v>
      </c>
      <c r="D64" s="756" t="s">
        <v>16</v>
      </c>
      <c r="E64" s="730" t="s">
        <v>17</v>
      </c>
      <c r="F64" s="731"/>
      <c r="G64" s="205" t="s">
        <v>276</v>
      </c>
      <c r="H64" s="206" t="s">
        <v>250</v>
      </c>
      <c r="I64" s="207">
        <v>5</v>
      </c>
      <c r="J64" s="208">
        <v>0</v>
      </c>
      <c r="K64" s="130"/>
      <c r="L64" s="131"/>
      <c r="M64" s="131"/>
      <c r="N64" s="132"/>
      <c r="O64" s="130"/>
      <c r="P64" s="131"/>
      <c r="Q64" s="131"/>
      <c r="R64" s="132"/>
      <c r="S64" s="133">
        <f>IF(ISNUMBER(FIND(S$13,$G64)),$I64,IF(ISNUMBER(FIND(S$13,$H64)),$J64,""))</f>
        <v>0</v>
      </c>
      <c r="T64" s="131"/>
      <c r="U64" s="131"/>
      <c r="V64" s="132"/>
      <c r="W64" s="130"/>
      <c r="X64" s="131"/>
      <c r="Y64" s="131"/>
      <c r="Z64" s="132"/>
      <c r="AA64" s="133">
        <f>IF(ISNUMBER(FIND(AA$13,$G64)),$I64,IF(ISNUMBER(FIND(AA$13,$H64)),$J64,""))</f>
        <v>5</v>
      </c>
      <c r="AB64" s="131"/>
      <c r="AC64" s="131"/>
      <c r="AD64" s="132"/>
      <c r="AE64" s="130"/>
      <c r="AF64" s="131"/>
      <c r="AG64" s="131"/>
      <c r="AH64" s="132"/>
      <c r="AI64" s="133">
        <f>IF(ISNUMBER(FIND(AI$13,$G64)),$I64,IF(ISNUMBER(FIND(AI$13,$H64)),$J64,""))</f>
        <v>0</v>
      </c>
      <c r="AJ64" s="131"/>
      <c r="AK64" s="131"/>
      <c r="AL64" s="132"/>
      <c r="AM64" s="133">
        <f>IF(ISNUMBER(FIND(AM$13,$G64)),$I64,IF(ISNUMBER(FIND(AM$13,$H64)),$J64,""))</f>
        <v>5</v>
      </c>
      <c r="AN64" s="131"/>
      <c r="AO64" s="131"/>
      <c r="AP64" s="132"/>
      <c r="AQ64" s="130"/>
      <c r="AR64" s="131"/>
      <c r="AS64" s="131"/>
      <c r="AT64" s="132"/>
      <c r="AU64" s="130"/>
      <c r="AV64" s="131"/>
      <c r="AW64" s="131"/>
      <c r="AX64" s="132"/>
      <c r="AY64" s="130"/>
      <c r="AZ64" s="131"/>
      <c r="BA64" s="131"/>
      <c r="BB64" s="132"/>
      <c r="BC64" s="130"/>
      <c r="BD64" s="131"/>
      <c r="BE64" s="131"/>
      <c r="BF64" s="132"/>
      <c r="BH64">
        <v>9</v>
      </c>
      <c r="BI64" t="s">
        <v>31</v>
      </c>
      <c r="BL64" t="s">
        <v>37</v>
      </c>
      <c r="BN64" t="s">
        <v>49</v>
      </c>
      <c r="BP64" s="8" t="s">
        <v>64</v>
      </c>
      <c r="BR64" t="s">
        <v>50</v>
      </c>
    </row>
    <row r="65" spans="2:70" ht="14.5" thickBot="1" x14ac:dyDescent="0.35">
      <c r="B65" s="754"/>
      <c r="C65" s="564"/>
      <c r="D65" s="757"/>
      <c r="E65" s="723" t="s">
        <v>18</v>
      </c>
      <c r="F65" s="724"/>
      <c r="G65" s="209" t="s">
        <v>254</v>
      </c>
      <c r="H65" s="210" t="s">
        <v>277</v>
      </c>
      <c r="I65" s="211">
        <v>1</v>
      </c>
      <c r="J65" s="212">
        <v>5</v>
      </c>
      <c r="K65" s="130"/>
      <c r="L65" s="131"/>
      <c r="M65" s="131"/>
      <c r="N65" s="132"/>
      <c r="O65" s="130"/>
      <c r="P65" s="131"/>
      <c r="Q65" s="131"/>
      <c r="R65" s="132"/>
      <c r="S65" s="130"/>
      <c r="T65" s="131"/>
      <c r="U65" s="131"/>
      <c r="V65" s="132"/>
      <c r="W65" s="130"/>
      <c r="X65" s="131"/>
      <c r="Y65" s="131"/>
      <c r="Z65" s="132"/>
      <c r="AA65" s="130"/>
      <c r="AB65" s="131"/>
      <c r="AC65" s="131"/>
      <c r="AD65" s="132"/>
      <c r="AE65" s="133">
        <f>IF(ISNUMBER(FIND(AE$13,$G65)),$I65,IF(ISNUMBER(FIND(AE$13,$H65)),$J65,""))</f>
        <v>1</v>
      </c>
      <c r="AF65" s="131"/>
      <c r="AG65" s="131"/>
      <c r="AH65" s="132"/>
      <c r="AI65" s="130"/>
      <c r="AJ65" s="131"/>
      <c r="AK65" s="131"/>
      <c r="AL65" s="132"/>
      <c r="AM65" s="133">
        <f>IF(ISNUMBER(FIND(AM$13,$G65)),$I65,IF(ISNUMBER(FIND(AM$13,$H65)),$J65,""))</f>
        <v>5</v>
      </c>
      <c r="AN65" s="131"/>
      <c r="AO65" s="131"/>
      <c r="AP65" s="132"/>
      <c r="AQ65" s="133">
        <f>IF(ISNUMBER(FIND(AQ$13,$G65)),$I65,IF(ISNUMBER(FIND(AQ$13,$H65)),$J65,""))</f>
        <v>5</v>
      </c>
      <c r="AR65" s="131"/>
      <c r="AS65" s="131"/>
      <c r="AT65" s="132"/>
      <c r="AU65" s="133">
        <f>IF(ISNUMBER(FIND(AU$13,$G65)),$I65,IF(ISNUMBER(FIND(AU$13,$H65)),$J65,""))</f>
        <v>1</v>
      </c>
      <c r="AV65" s="131"/>
      <c r="AW65" s="131"/>
      <c r="AX65" s="132"/>
      <c r="AY65" s="130"/>
      <c r="AZ65" s="131"/>
      <c r="BA65" s="131"/>
      <c r="BB65" s="132"/>
      <c r="BC65" s="130"/>
      <c r="BD65" s="131"/>
      <c r="BE65" s="131"/>
      <c r="BF65" s="132"/>
      <c r="BH65">
        <v>8</v>
      </c>
      <c r="BI65" t="s">
        <v>30</v>
      </c>
      <c r="BL65" t="s">
        <v>38</v>
      </c>
      <c r="BN65" t="s">
        <v>41</v>
      </c>
      <c r="BP65" t="s">
        <v>56</v>
      </c>
      <c r="BR65" t="s">
        <v>68</v>
      </c>
    </row>
    <row r="66" spans="2:70" ht="14.5" thickBot="1" x14ac:dyDescent="0.35">
      <c r="B66" s="754"/>
      <c r="C66" s="564"/>
      <c r="D66" s="757"/>
      <c r="E66" s="723" t="s">
        <v>19</v>
      </c>
      <c r="F66" s="724"/>
      <c r="G66" s="209" t="s">
        <v>278</v>
      </c>
      <c r="H66" s="210" t="s">
        <v>279</v>
      </c>
      <c r="I66" s="211">
        <v>2</v>
      </c>
      <c r="J66" s="212">
        <v>5</v>
      </c>
      <c r="K66" s="130"/>
      <c r="L66" s="131"/>
      <c r="M66" s="131"/>
      <c r="N66" s="132"/>
      <c r="O66" s="133">
        <f>IF(ISNUMBER(FIND(O$13,$G66)),$I66,IF(ISNUMBER(FIND(O$13,$H66)),$J66,""))</f>
        <v>5</v>
      </c>
      <c r="P66" s="131"/>
      <c r="Q66" s="131"/>
      <c r="R66" s="132"/>
      <c r="S66" s="130"/>
      <c r="T66" s="131"/>
      <c r="U66" s="131"/>
      <c r="V66" s="132"/>
      <c r="W66" s="133">
        <f>IF(ISNUMBER(FIND(W$13,$G66)),$I66,IF(ISNUMBER(FIND(W$13,$H66)),$J66,""))</f>
        <v>2</v>
      </c>
      <c r="X66" s="131"/>
      <c r="Y66" s="131"/>
      <c r="Z66" s="132"/>
      <c r="AA66" s="130"/>
      <c r="AB66" s="131"/>
      <c r="AC66" s="131"/>
      <c r="AD66" s="132"/>
      <c r="AE66" s="130"/>
      <c r="AF66" s="131"/>
      <c r="AG66" s="131"/>
      <c r="AH66" s="132"/>
      <c r="AI66" s="130"/>
      <c r="AJ66" s="131"/>
      <c r="AK66" s="131"/>
      <c r="AL66" s="132"/>
      <c r="AM66" s="130"/>
      <c r="AN66" s="131"/>
      <c r="AO66" s="131"/>
      <c r="AP66" s="132"/>
      <c r="AQ66" s="130"/>
      <c r="AR66" s="131"/>
      <c r="AS66" s="131"/>
      <c r="AT66" s="132"/>
      <c r="AU66" s="133">
        <f>IF(ISNUMBER(FIND(AU$13,$G66)),$I66,IF(ISNUMBER(FIND(AU$13,$H66)),$J66,""))</f>
        <v>5</v>
      </c>
      <c r="AV66" s="131"/>
      <c r="AW66" s="131"/>
      <c r="AX66" s="132"/>
      <c r="AY66" s="133">
        <f>IF(ISNUMBER(FIND(AY$13,$G66)),$I66,IF(ISNUMBER(FIND(AY$13,$H66)),$J66,""))</f>
        <v>2</v>
      </c>
      <c r="AZ66" s="131"/>
      <c r="BA66" s="131"/>
      <c r="BB66" s="132"/>
      <c r="BC66" s="130"/>
      <c r="BD66" s="131"/>
      <c r="BE66" s="131"/>
      <c r="BF66" s="132"/>
      <c r="BH66">
        <f>BH64*BH65</f>
        <v>72</v>
      </c>
      <c r="BI66" t="s">
        <v>32</v>
      </c>
      <c r="BL66" t="s">
        <v>39</v>
      </c>
      <c r="BN66" t="s">
        <v>42</v>
      </c>
      <c r="BP66" t="s">
        <v>57</v>
      </c>
      <c r="BR66" t="s">
        <v>69</v>
      </c>
    </row>
    <row r="67" spans="2:70" ht="14.5" thickBot="1" x14ac:dyDescent="0.35">
      <c r="B67" s="754"/>
      <c r="C67" s="564"/>
      <c r="D67" s="757"/>
      <c r="E67" s="723" t="s">
        <v>20</v>
      </c>
      <c r="F67" s="724"/>
      <c r="G67" s="209" t="s">
        <v>280</v>
      </c>
      <c r="H67" s="210" t="s">
        <v>267</v>
      </c>
      <c r="I67" s="211">
        <v>5</v>
      </c>
      <c r="J67" s="212">
        <v>4</v>
      </c>
      <c r="K67" s="133">
        <f>IF(ISNUMBER(FIND(K$13,$G67)),$I67,IF(ISNUMBER(FIND(K$13,$H67)),$J67,""))</f>
        <v>5</v>
      </c>
      <c r="L67" s="131"/>
      <c r="M67" s="131"/>
      <c r="N67" s="132"/>
      <c r="O67" s="130"/>
      <c r="P67" s="131"/>
      <c r="Q67" s="131"/>
      <c r="R67" s="132"/>
      <c r="S67" s="130"/>
      <c r="T67" s="131"/>
      <c r="U67" s="131"/>
      <c r="V67" s="132"/>
      <c r="W67" s="133">
        <f>IF(ISNUMBER(FIND(W$13,$G67)),$I67,IF(ISNUMBER(FIND(W$13,$H67)),$J67,""))</f>
        <v>4</v>
      </c>
      <c r="X67" s="131"/>
      <c r="Y67" s="131"/>
      <c r="Z67" s="132"/>
      <c r="AA67" s="133">
        <f>IF(ISNUMBER(FIND(AA$13,$G67)),$I67,IF(ISNUMBER(FIND(AA$13,$H67)),$J67,""))</f>
        <v>4</v>
      </c>
      <c r="AB67" s="131"/>
      <c r="AC67" s="131"/>
      <c r="AD67" s="132"/>
      <c r="AE67" s="130"/>
      <c r="AF67" s="131"/>
      <c r="AG67" s="131"/>
      <c r="AH67" s="132"/>
      <c r="AI67" s="130"/>
      <c r="AJ67" s="131"/>
      <c r="AK67" s="131"/>
      <c r="AL67" s="132"/>
      <c r="AM67" s="130"/>
      <c r="AN67" s="131"/>
      <c r="AO67" s="131"/>
      <c r="AP67" s="132"/>
      <c r="AQ67" s="130"/>
      <c r="AR67" s="131"/>
      <c r="AS67" s="131"/>
      <c r="AT67" s="132"/>
      <c r="AU67" s="133">
        <f>IF(ISNUMBER(FIND(AU$13,$G67)),$I67,IF(ISNUMBER(FIND(AU$13,$H67)),$J67,""))</f>
        <v>5</v>
      </c>
      <c r="AV67" s="131"/>
      <c r="AW67" s="131"/>
      <c r="AX67" s="132"/>
      <c r="AY67" s="130"/>
      <c r="AZ67" s="131"/>
      <c r="BA67" s="131"/>
      <c r="BB67" s="132"/>
      <c r="BC67" s="130"/>
      <c r="BD67" s="131"/>
      <c r="BE67" s="131"/>
      <c r="BF67" s="132"/>
      <c r="BH67">
        <f>BH65/14.5</f>
        <v>0.55172413793103448</v>
      </c>
      <c r="BI67" t="s">
        <v>36</v>
      </c>
    </row>
    <row r="68" spans="2:70" ht="14.5" thickBot="1" x14ac:dyDescent="0.35">
      <c r="B68" s="754"/>
      <c r="C68" s="564"/>
      <c r="D68" s="757"/>
      <c r="E68" s="723" t="s">
        <v>21</v>
      </c>
      <c r="F68" s="724"/>
      <c r="G68" s="209" t="s">
        <v>281</v>
      </c>
      <c r="H68" s="210" t="s">
        <v>277</v>
      </c>
      <c r="I68" s="211">
        <v>1</v>
      </c>
      <c r="J68" s="212">
        <v>5</v>
      </c>
      <c r="K68" s="130"/>
      <c r="L68" s="131"/>
      <c r="M68" s="131"/>
      <c r="N68" s="132"/>
      <c r="O68" s="130"/>
      <c r="P68" s="131"/>
      <c r="Q68" s="131"/>
      <c r="R68" s="132"/>
      <c r="S68" s="130"/>
      <c r="T68" s="131"/>
      <c r="U68" s="131"/>
      <c r="V68" s="132"/>
      <c r="W68" s="130"/>
      <c r="X68" s="131"/>
      <c r="Y68" s="131"/>
      <c r="Z68" s="132"/>
      <c r="AA68" s="130"/>
      <c r="AB68" s="131"/>
      <c r="AC68" s="131"/>
      <c r="AD68" s="132"/>
      <c r="AE68" s="133">
        <f>IF(ISNUMBER(FIND(AE$13,$G68)),$I68,IF(ISNUMBER(FIND(AE$13,$H68)),$J68,""))</f>
        <v>1</v>
      </c>
      <c r="AF68" s="131"/>
      <c r="AG68" s="131"/>
      <c r="AH68" s="132"/>
      <c r="AI68" s="133">
        <f>IF(ISNUMBER(FIND(AI$13,$G68)),$I68,IF(ISNUMBER(FIND(AI$13,$H68)),$J68,""))</f>
        <v>1</v>
      </c>
      <c r="AJ68" s="131"/>
      <c r="AK68" s="131"/>
      <c r="AL68" s="132"/>
      <c r="AM68" s="133">
        <f>IF(ISNUMBER(FIND(AM$13,$G68)),$I68,IF(ISNUMBER(FIND(AM$13,$H68)),$J68,""))</f>
        <v>5</v>
      </c>
      <c r="AN68" s="131"/>
      <c r="AO68" s="131"/>
      <c r="AP68" s="132"/>
      <c r="AQ68" s="133">
        <f>IF(ISNUMBER(FIND(AQ$13,$G68)),$I68,IF(ISNUMBER(FIND(AQ$13,$H68)),$J68,""))</f>
        <v>5</v>
      </c>
      <c r="AR68" s="131"/>
      <c r="AS68" s="131"/>
      <c r="AT68" s="132"/>
      <c r="AU68" s="130"/>
      <c r="AV68" s="131"/>
      <c r="AW68" s="131"/>
      <c r="AX68" s="132"/>
      <c r="AY68" s="130"/>
      <c r="AZ68" s="131"/>
      <c r="BA68" s="131"/>
      <c r="BB68" s="132"/>
      <c r="BC68" s="130"/>
      <c r="BD68" s="131"/>
      <c r="BE68" s="131"/>
      <c r="BF68" s="132"/>
      <c r="BH68">
        <f>BH67*6/10*14.5</f>
        <v>4.8</v>
      </c>
    </row>
    <row r="69" spans="2:70" ht="14.5" thickBot="1" x14ac:dyDescent="0.35">
      <c r="B69" s="754"/>
      <c r="C69" s="564"/>
      <c r="D69" s="757"/>
      <c r="E69" s="723" t="s">
        <v>22</v>
      </c>
      <c r="F69" s="724"/>
      <c r="G69" s="209" t="s">
        <v>266</v>
      </c>
      <c r="H69" s="210" t="s">
        <v>249</v>
      </c>
      <c r="I69" s="211">
        <v>2</v>
      </c>
      <c r="J69" s="212">
        <v>5</v>
      </c>
      <c r="K69" s="133">
        <f>IF(ISNUMBER(FIND(K$13,$G69)),$I69,IF(ISNUMBER(FIND(K$13,$H69)),$J69,""))</f>
        <v>5</v>
      </c>
      <c r="L69" s="131"/>
      <c r="M69" s="131"/>
      <c r="N69" s="132"/>
      <c r="O69" s="130"/>
      <c r="P69" s="131"/>
      <c r="Q69" s="131"/>
      <c r="R69" s="132"/>
      <c r="S69" s="133">
        <f>IF(ISNUMBER(FIND(S$13,$G69)),$I69,IF(ISNUMBER(FIND(S$13,$H69)),$J69,""))</f>
        <v>2</v>
      </c>
      <c r="T69" s="131"/>
      <c r="U69" s="131"/>
      <c r="V69" s="132"/>
      <c r="W69" s="130"/>
      <c r="X69" s="131"/>
      <c r="Y69" s="131"/>
      <c r="Z69" s="132"/>
      <c r="AA69" s="133">
        <f>IF(ISNUMBER(FIND(AA$13,$G69)),$I69,IF(ISNUMBER(FIND(AA$13,$H69)),$J69,""))</f>
        <v>5</v>
      </c>
      <c r="AB69" s="131"/>
      <c r="AC69" s="131"/>
      <c r="AD69" s="132"/>
      <c r="AE69" s="130"/>
      <c r="AF69" s="131"/>
      <c r="AG69" s="131"/>
      <c r="AH69" s="132"/>
      <c r="AI69" s="130"/>
      <c r="AJ69" s="131"/>
      <c r="AK69" s="131"/>
      <c r="AL69" s="132"/>
      <c r="AM69" s="130"/>
      <c r="AN69" s="131"/>
      <c r="AO69" s="131"/>
      <c r="AP69" s="132"/>
      <c r="AQ69" s="133">
        <f>IF(ISNUMBER(FIND(AQ$13,$G69)),$I69,IF(ISNUMBER(FIND(AQ$13,$H69)),$J69,""))</f>
        <v>2</v>
      </c>
      <c r="AR69" s="131"/>
      <c r="AS69" s="131"/>
      <c r="AT69" s="132"/>
      <c r="AU69" s="130"/>
      <c r="AV69" s="131"/>
      <c r="AW69" s="131"/>
      <c r="AX69" s="132"/>
      <c r="AY69" s="130"/>
      <c r="AZ69" s="131"/>
      <c r="BA69" s="131"/>
      <c r="BB69" s="132"/>
      <c r="BC69" s="130"/>
      <c r="BD69" s="131"/>
      <c r="BE69" s="131"/>
      <c r="BF69" s="132"/>
    </row>
    <row r="70" spans="2:70" ht="14.5" thickBot="1" x14ac:dyDescent="0.35">
      <c r="B70" s="754"/>
      <c r="C70" s="564"/>
      <c r="D70" s="757"/>
      <c r="E70" s="723" t="s">
        <v>23</v>
      </c>
      <c r="F70" s="724"/>
      <c r="G70" s="209" t="s">
        <v>259</v>
      </c>
      <c r="H70" s="210" t="s">
        <v>282</v>
      </c>
      <c r="I70" s="211">
        <v>0</v>
      </c>
      <c r="J70" s="212">
        <v>5</v>
      </c>
      <c r="K70" s="130"/>
      <c r="L70" s="131"/>
      <c r="M70" s="131"/>
      <c r="N70" s="132"/>
      <c r="O70" s="133">
        <f>IF(ISNUMBER(FIND(O$13,$G70)),$I70,IF(ISNUMBER(FIND(O$13,$H70)),$J70,""))</f>
        <v>0</v>
      </c>
      <c r="P70" s="131"/>
      <c r="Q70" s="131"/>
      <c r="R70" s="132"/>
      <c r="S70" s="130"/>
      <c r="T70" s="131"/>
      <c r="U70" s="131"/>
      <c r="V70" s="132"/>
      <c r="W70" s="130"/>
      <c r="X70" s="131"/>
      <c r="Y70" s="131"/>
      <c r="Z70" s="132"/>
      <c r="AA70" s="133">
        <f>IF(ISNUMBER(FIND(AA$13,$G70)),$I70,IF(ISNUMBER(FIND(AA$13,$H70)),$J70,""))</f>
        <v>5</v>
      </c>
      <c r="AB70" s="131"/>
      <c r="AC70" s="131"/>
      <c r="AD70" s="132"/>
      <c r="AE70" s="130"/>
      <c r="AF70" s="131"/>
      <c r="AG70" s="131"/>
      <c r="AH70" s="132"/>
      <c r="AI70" s="133">
        <f>IF(ISNUMBER(FIND(AI$13,$G70)),$I70,IF(ISNUMBER(FIND(AI$13,$H70)),$J70,""))</f>
        <v>0</v>
      </c>
      <c r="AJ70" s="131"/>
      <c r="AK70" s="131"/>
      <c r="AL70" s="132"/>
      <c r="AM70" s="130"/>
      <c r="AN70" s="131"/>
      <c r="AO70" s="131"/>
      <c r="AP70" s="132"/>
      <c r="AQ70" s="130"/>
      <c r="AR70" s="131"/>
      <c r="AS70" s="131"/>
      <c r="AT70" s="132"/>
      <c r="AU70" s="130"/>
      <c r="AV70" s="131"/>
      <c r="AW70" s="131"/>
      <c r="AX70" s="132"/>
      <c r="AY70" s="130"/>
      <c r="AZ70" s="131"/>
      <c r="BA70" s="131"/>
      <c r="BB70" s="132"/>
      <c r="BC70" s="133">
        <f>IF(ISNUMBER(FIND(BC$13,$G70)),$I70,IF(ISNUMBER(FIND(BC$13,$H70)),$J70,""))</f>
        <v>5</v>
      </c>
      <c r="BD70" s="131"/>
      <c r="BE70" s="131"/>
      <c r="BF70" s="132"/>
      <c r="BI70" t="s">
        <v>33</v>
      </c>
    </row>
    <row r="71" spans="2:70" ht="14.5" thickBot="1" x14ac:dyDescent="0.35">
      <c r="B71" s="754"/>
      <c r="C71" s="564"/>
      <c r="D71" s="757"/>
      <c r="E71" s="723" t="s">
        <v>24</v>
      </c>
      <c r="F71" s="724"/>
      <c r="G71" s="213" t="s">
        <v>253</v>
      </c>
      <c r="H71" s="214" t="s">
        <v>269</v>
      </c>
      <c r="I71" s="215">
        <v>5</v>
      </c>
      <c r="J71" s="216">
        <v>0</v>
      </c>
      <c r="K71" s="176"/>
      <c r="L71" s="177"/>
      <c r="M71" s="177"/>
      <c r="N71" s="178"/>
      <c r="O71" s="176"/>
      <c r="P71" s="177"/>
      <c r="Q71" s="177"/>
      <c r="R71" s="178"/>
      <c r="S71" s="176"/>
      <c r="T71" s="177"/>
      <c r="U71" s="177"/>
      <c r="V71" s="178"/>
      <c r="W71" s="176"/>
      <c r="X71" s="177"/>
      <c r="Y71" s="177"/>
      <c r="Z71" s="178"/>
      <c r="AA71" s="176"/>
      <c r="AB71" s="177"/>
      <c r="AC71" s="177"/>
      <c r="AD71" s="178"/>
      <c r="AE71" s="176"/>
      <c r="AF71" s="177"/>
      <c r="AG71" s="177"/>
      <c r="AH71" s="178"/>
      <c r="AI71" s="179">
        <f>IF(ISNUMBER(FIND(AI$13,$G71)),$I71,IF(ISNUMBER(FIND(AI$13,$H71)),$J71,""))</f>
        <v>0</v>
      </c>
      <c r="AJ71" s="177"/>
      <c r="AK71" s="177"/>
      <c r="AL71" s="178"/>
      <c r="AM71" s="176"/>
      <c r="AN71" s="177"/>
      <c r="AO71" s="177"/>
      <c r="AP71" s="178"/>
      <c r="AQ71" s="176"/>
      <c r="AR71" s="177"/>
      <c r="AS71" s="177"/>
      <c r="AT71" s="178"/>
      <c r="AU71" s="179">
        <f>IF(ISNUMBER(FIND(AU$13,$G71)),$I71,IF(ISNUMBER(FIND(AU$13,$H71)),$J71,""))</f>
        <v>0</v>
      </c>
      <c r="AV71" s="177"/>
      <c r="AW71" s="177"/>
      <c r="AX71" s="178"/>
      <c r="AY71" s="179">
        <f>IF(ISNUMBER(FIND(AY$13,$G71)),$I71,IF(ISNUMBER(FIND(AY$13,$H71)),$J71,""))</f>
        <v>5</v>
      </c>
      <c r="AZ71" s="177"/>
      <c r="BA71" s="177"/>
      <c r="BB71" s="178"/>
      <c r="BC71" s="179">
        <f>IF(ISNUMBER(FIND(BC$13,$G71)),$I71,IF(ISNUMBER(FIND(BC$13,$H71)),$J71,""))</f>
        <v>5</v>
      </c>
      <c r="BD71" s="177"/>
      <c r="BE71" s="177"/>
      <c r="BF71" s="178"/>
      <c r="BI71" t="s">
        <v>34</v>
      </c>
    </row>
    <row r="72" spans="2:70" ht="15" customHeight="1" x14ac:dyDescent="0.3">
      <c r="B72" s="754"/>
      <c r="C72" s="564"/>
      <c r="D72" s="745" t="s">
        <v>248</v>
      </c>
      <c r="E72" s="725" t="s">
        <v>17</v>
      </c>
      <c r="F72" s="726"/>
      <c r="G72" s="217" t="s">
        <v>5</v>
      </c>
      <c r="H72" s="218" t="s">
        <v>10</v>
      </c>
      <c r="I72" s="222">
        <v>237</v>
      </c>
      <c r="J72" s="219">
        <v>147</v>
      </c>
      <c r="K72" s="139"/>
      <c r="L72" s="128"/>
      <c r="M72" s="128"/>
      <c r="N72" s="129"/>
      <c r="O72" s="139"/>
      <c r="P72" s="128"/>
      <c r="Q72" s="128"/>
      <c r="R72" s="129"/>
      <c r="S72" s="139"/>
      <c r="T72" s="128"/>
      <c r="U72" s="128"/>
      <c r="V72" s="129"/>
      <c r="W72" s="139"/>
      <c r="X72" s="128"/>
      <c r="Y72" s="128"/>
      <c r="Z72" s="129"/>
      <c r="AA72" s="139"/>
      <c r="AB72" s="128"/>
      <c r="AC72" s="128"/>
      <c r="AD72" s="129"/>
      <c r="AE72" s="139"/>
      <c r="AF72" s="180">
        <f>IF(ISNUMBER(FIND(AE$13,$G72)),$I72,IF(ISNUMBER(FIND(AE$13,$H72)),$J72,""))</f>
        <v>237</v>
      </c>
      <c r="AG72" s="128"/>
      <c r="AH72" s="129"/>
      <c r="AI72" s="139"/>
      <c r="AJ72" s="128"/>
      <c r="AK72" s="128"/>
      <c r="AL72" s="129"/>
      <c r="AM72" s="139"/>
      <c r="AN72" s="128"/>
      <c r="AO72" s="128"/>
      <c r="AP72" s="129"/>
      <c r="AQ72" s="139"/>
      <c r="AR72" s="128"/>
      <c r="AS72" s="128"/>
      <c r="AT72" s="129"/>
      <c r="AU72" s="139"/>
      <c r="AV72" s="128"/>
      <c r="AW72" s="128"/>
      <c r="AX72" s="129"/>
      <c r="AY72" s="139"/>
      <c r="AZ72" s="180">
        <f>IF(ISNUMBER(FIND(AY$13,$G72)),$I72,IF(ISNUMBER(FIND(AY$13,$H72)),$J72,""))</f>
        <v>147</v>
      </c>
      <c r="BA72" s="128"/>
      <c r="BB72" s="129"/>
      <c r="BC72" s="139"/>
      <c r="BD72" s="128"/>
      <c r="BE72" s="128"/>
      <c r="BF72" s="129"/>
      <c r="BI72" t="s">
        <v>43</v>
      </c>
      <c r="BL72" t="s">
        <v>46</v>
      </c>
      <c r="BN72" t="s">
        <v>52</v>
      </c>
      <c r="BP72" s="8" t="s">
        <v>63</v>
      </c>
      <c r="BR72" t="s">
        <v>63</v>
      </c>
    </row>
    <row r="73" spans="2:70" x14ac:dyDescent="0.3">
      <c r="B73" s="754"/>
      <c r="C73" s="564"/>
      <c r="D73" s="746"/>
      <c r="E73" s="599" t="s">
        <v>18</v>
      </c>
      <c r="F73" s="600"/>
      <c r="G73" s="220" t="s">
        <v>0</v>
      </c>
      <c r="H73" s="221" t="s">
        <v>1</v>
      </c>
      <c r="I73" s="222">
        <v>229</v>
      </c>
      <c r="J73" s="222">
        <v>157</v>
      </c>
      <c r="K73" s="130"/>
      <c r="L73" s="134">
        <f>IF(ISNUMBER(FIND(K$13,$G73)),$I73,IF(ISNUMBER(FIND(K$13,$H73)),$J73,""))</f>
        <v>229</v>
      </c>
      <c r="M73" s="131"/>
      <c r="N73" s="132"/>
      <c r="O73" s="130"/>
      <c r="P73" s="134">
        <f>IF(ISNUMBER(FIND(O$13,$G73)),$I73,IF(ISNUMBER(FIND(O$13,$H73)),$J73,""))</f>
        <v>157</v>
      </c>
      <c r="Q73" s="131"/>
      <c r="R73" s="132"/>
      <c r="S73" s="130"/>
      <c r="T73" s="131"/>
      <c r="U73" s="131"/>
      <c r="V73" s="132"/>
      <c r="W73" s="130"/>
      <c r="X73" s="131"/>
      <c r="Y73" s="131"/>
      <c r="Z73" s="132"/>
      <c r="AA73" s="130"/>
      <c r="AB73" s="131"/>
      <c r="AC73" s="131"/>
      <c r="AD73" s="132"/>
      <c r="AE73" s="130"/>
      <c r="AF73" s="131"/>
      <c r="AG73" s="131"/>
      <c r="AH73" s="132"/>
      <c r="AI73" s="130"/>
      <c r="AJ73" s="131"/>
      <c r="AK73" s="131"/>
      <c r="AL73" s="132"/>
      <c r="AM73" s="130"/>
      <c r="AN73" s="131"/>
      <c r="AO73" s="131"/>
      <c r="AP73" s="132"/>
      <c r="AQ73" s="130"/>
      <c r="AR73" s="131"/>
      <c r="AS73" s="131"/>
      <c r="AT73" s="132"/>
      <c r="AU73" s="130"/>
      <c r="AV73" s="131"/>
      <c r="AW73" s="131"/>
      <c r="AX73" s="132"/>
      <c r="AY73" s="130"/>
      <c r="AZ73" s="131"/>
      <c r="BA73" s="131"/>
      <c r="BB73" s="132"/>
      <c r="BC73" s="130"/>
      <c r="BD73" s="131"/>
      <c r="BE73" s="131"/>
      <c r="BF73" s="132"/>
      <c r="BI73" t="s">
        <v>44</v>
      </c>
      <c r="BL73" t="s">
        <v>47</v>
      </c>
      <c r="BN73" t="s">
        <v>53</v>
      </c>
      <c r="BP73" t="s">
        <v>61</v>
      </c>
      <c r="BR73" t="s">
        <v>61</v>
      </c>
    </row>
    <row r="74" spans="2:70" x14ac:dyDescent="0.3">
      <c r="B74" s="754"/>
      <c r="C74" s="564"/>
      <c r="D74" s="746"/>
      <c r="E74" s="599" t="s">
        <v>19</v>
      </c>
      <c r="F74" s="600"/>
      <c r="G74" s="220" t="s">
        <v>4</v>
      </c>
      <c r="H74" s="221" t="s">
        <v>8</v>
      </c>
      <c r="I74" s="222">
        <v>180</v>
      </c>
      <c r="J74" s="222">
        <v>221</v>
      </c>
      <c r="K74" s="130"/>
      <c r="L74" s="131"/>
      <c r="M74" s="131"/>
      <c r="N74" s="132"/>
      <c r="O74" s="130"/>
      <c r="P74" s="131"/>
      <c r="Q74" s="131"/>
      <c r="R74" s="132"/>
      <c r="S74" s="130"/>
      <c r="T74" s="131"/>
      <c r="U74" s="131"/>
      <c r="V74" s="132"/>
      <c r="W74" s="130"/>
      <c r="X74" s="131"/>
      <c r="Y74" s="131"/>
      <c r="Z74" s="132"/>
      <c r="AA74" s="130"/>
      <c r="AB74" s="134">
        <f>IF(ISNUMBER(FIND(AA$13,$G74)),$I74,IF(ISNUMBER(FIND(AA$13,$H74)),$J74,""))</f>
        <v>180</v>
      </c>
      <c r="AC74" s="131"/>
      <c r="AD74" s="132"/>
      <c r="AE74" s="130"/>
      <c r="AF74" s="131"/>
      <c r="AG74" s="131"/>
      <c r="AH74" s="132"/>
      <c r="AI74" s="130"/>
      <c r="AJ74" s="131"/>
      <c r="AK74" s="131"/>
      <c r="AL74" s="132"/>
      <c r="AM74" s="130"/>
      <c r="AN74" s="131"/>
      <c r="AO74" s="131"/>
      <c r="AP74" s="132"/>
      <c r="AQ74" s="130"/>
      <c r="AR74" s="134">
        <f>IF(ISNUMBER(FIND(AQ$13,$G74)),$I74,IF(ISNUMBER(FIND(AQ$13,$H74)),$J74,""))</f>
        <v>221</v>
      </c>
      <c r="AS74" s="131"/>
      <c r="AT74" s="132"/>
      <c r="AU74" s="130"/>
      <c r="AV74" s="131"/>
      <c r="AW74" s="131"/>
      <c r="AX74" s="132"/>
      <c r="AY74" s="130"/>
      <c r="AZ74" s="131"/>
      <c r="BA74" s="131"/>
      <c r="BB74" s="132"/>
      <c r="BC74" s="130"/>
      <c r="BD74" s="131"/>
      <c r="BE74" s="131"/>
      <c r="BF74" s="132"/>
      <c r="BI74" t="s">
        <v>45</v>
      </c>
      <c r="BL74" t="s">
        <v>48</v>
      </c>
      <c r="BN74" t="s">
        <v>54</v>
      </c>
      <c r="BP74" t="s">
        <v>62</v>
      </c>
      <c r="BR74" t="s">
        <v>62</v>
      </c>
    </row>
    <row r="75" spans="2:70" x14ac:dyDescent="0.3">
      <c r="B75" s="754"/>
      <c r="C75" s="564"/>
      <c r="D75" s="746"/>
      <c r="E75" s="599" t="s">
        <v>20</v>
      </c>
      <c r="F75" s="600"/>
      <c r="G75" s="220" t="s">
        <v>1</v>
      </c>
      <c r="H75" s="221" t="s">
        <v>5</v>
      </c>
      <c r="I75" s="222">
        <v>255</v>
      </c>
      <c r="J75" s="222">
        <v>247</v>
      </c>
      <c r="K75" s="130"/>
      <c r="L75" s="131"/>
      <c r="M75" s="131"/>
      <c r="N75" s="132"/>
      <c r="O75" s="130"/>
      <c r="P75" s="134">
        <f>IF(ISNUMBER(FIND(O$13,$G75)),$I75,IF(ISNUMBER(FIND(O$13,$H75)),$J75,""))</f>
        <v>255</v>
      </c>
      <c r="Q75" s="131"/>
      <c r="R75" s="132"/>
      <c r="S75" s="130"/>
      <c r="T75" s="131"/>
      <c r="U75" s="131"/>
      <c r="V75" s="132"/>
      <c r="W75" s="130"/>
      <c r="X75" s="131"/>
      <c r="Y75" s="131"/>
      <c r="Z75" s="132"/>
      <c r="AA75" s="130"/>
      <c r="AB75" s="131"/>
      <c r="AC75" s="131"/>
      <c r="AD75" s="132"/>
      <c r="AE75" s="130"/>
      <c r="AF75" s="134">
        <f>IF(ISNUMBER(FIND(AE$13,$G75)),$I75,IF(ISNUMBER(FIND(AE$13,$H75)),$J75,""))</f>
        <v>247</v>
      </c>
      <c r="AG75" s="131"/>
      <c r="AH75" s="132"/>
      <c r="AI75" s="130"/>
      <c r="AJ75" s="131"/>
      <c r="AK75" s="131"/>
      <c r="AL75" s="132"/>
      <c r="AM75" s="130"/>
      <c r="AN75" s="131"/>
      <c r="AO75" s="131"/>
      <c r="AP75" s="132"/>
      <c r="AQ75" s="130"/>
      <c r="AR75" s="131"/>
      <c r="AS75" s="131"/>
      <c r="AT75" s="132"/>
      <c r="AU75" s="130"/>
      <c r="AV75" s="131"/>
      <c r="AW75" s="131"/>
      <c r="AX75" s="132"/>
      <c r="AY75" s="130"/>
      <c r="AZ75" s="131"/>
      <c r="BA75" s="131"/>
      <c r="BB75" s="132"/>
      <c r="BC75" s="130"/>
      <c r="BD75" s="131"/>
      <c r="BE75" s="131"/>
      <c r="BF75" s="132"/>
    </row>
    <row r="76" spans="2:70" x14ac:dyDescent="0.3">
      <c r="B76" s="754"/>
      <c r="C76" s="564"/>
      <c r="D76" s="746"/>
      <c r="E76" s="599" t="s">
        <v>21</v>
      </c>
      <c r="F76" s="600"/>
      <c r="G76" s="220" t="s">
        <v>3</v>
      </c>
      <c r="H76" s="221" t="s">
        <v>11</v>
      </c>
      <c r="I76" s="222">
        <v>126</v>
      </c>
      <c r="J76" s="222">
        <v>350</v>
      </c>
      <c r="K76" s="130"/>
      <c r="L76" s="131"/>
      <c r="M76" s="131"/>
      <c r="N76" s="132"/>
      <c r="O76" s="130"/>
      <c r="P76" s="131"/>
      <c r="Q76" s="131"/>
      <c r="R76" s="132"/>
      <c r="S76" s="130"/>
      <c r="T76" s="131"/>
      <c r="U76" s="131"/>
      <c r="V76" s="132"/>
      <c r="W76" s="130"/>
      <c r="X76" s="134">
        <f>IF(ISNUMBER(FIND(W$13,$G76)),$I76,IF(ISNUMBER(FIND(W$13,$H76)),$J76,""))</f>
        <v>126</v>
      </c>
      <c r="Y76" s="131"/>
      <c r="Z76" s="132"/>
      <c r="AA76" s="130"/>
      <c r="AB76" s="131"/>
      <c r="AC76" s="131"/>
      <c r="AD76" s="132"/>
      <c r="AE76" s="130"/>
      <c r="AF76" s="131"/>
      <c r="AG76" s="131"/>
      <c r="AH76" s="132"/>
      <c r="AI76" s="130"/>
      <c r="AJ76" s="131"/>
      <c r="AK76" s="131"/>
      <c r="AL76" s="132"/>
      <c r="AM76" s="130"/>
      <c r="AN76" s="131"/>
      <c r="AO76" s="131"/>
      <c r="AP76" s="132"/>
      <c r="AQ76" s="130"/>
      <c r="AR76" s="131"/>
      <c r="AS76" s="131"/>
      <c r="AT76" s="132"/>
      <c r="AU76" s="130"/>
      <c r="AV76" s="131"/>
      <c r="AW76" s="131"/>
      <c r="AX76" s="132"/>
      <c r="AY76" s="130"/>
      <c r="AZ76" s="131"/>
      <c r="BA76" s="131"/>
      <c r="BB76" s="132"/>
      <c r="BC76" s="130"/>
      <c r="BD76" s="134">
        <f>IF(ISNUMBER(FIND(BC$13,$G76)),$I76,IF(ISNUMBER(FIND(BC$13,$H76)),$J76,""))</f>
        <v>350</v>
      </c>
      <c r="BE76" s="131"/>
      <c r="BF76" s="132"/>
    </row>
    <row r="77" spans="2:70" x14ac:dyDescent="0.3">
      <c r="B77" s="754"/>
      <c r="C77" s="564"/>
      <c r="D77" s="746"/>
      <c r="E77" s="599" t="s">
        <v>22</v>
      </c>
      <c r="F77" s="600"/>
      <c r="G77" s="220" t="s">
        <v>6</v>
      </c>
      <c r="H77" s="221" t="s">
        <v>10</v>
      </c>
      <c r="I77" s="222">
        <v>220</v>
      </c>
      <c r="J77" s="222">
        <v>193</v>
      </c>
      <c r="K77" s="130"/>
      <c r="L77" s="131"/>
      <c r="M77" s="131"/>
      <c r="N77" s="132"/>
      <c r="O77" s="130"/>
      <c r="P77" s="131"/>
      <c r="Q77" s="131"/>
      <c r="R77" s="132"/>
      <c r="S77" s="130"/>
      <c r="T77" s="131"/>
      <c r="U77" s="131"/>
      <c r="V77" s="132"/>
      <c r="W77" s="130"/>
      <c r="X77" s="131"/>
      <c r="Y77" s="131"/>
      <c r="Z77" s="132"/>
      <c r="AA77" s="130"/>
      <c r="AB77" s="131"/>
      <c r="AC77" s="131"/>
      <c r="AD77" s="132"/>
      <c r="AE77" s="130"/>
      <c r="AF77" s="131"/>
      <c r="AG77" s="131"/>
      <c r="AH77" s="132"/>
      <c r="AI77" s="130"/>
      <c r="AJ77" s="134">
        <f>IF(ISNUMBER(FIND(AI$13,$G77)),$I77,IF(ISNUMBER(FIND(AI$13,$H77)),$J77,""))</f>
        <v>220</v>
      </c>
      <c r="AK77" s="131"/>
      <c r="AL77" s="132"/>
      <c r="AM77" s="130"/>
      <c r="AN77" s="131"/>
      <c r="AO77" s="131"/>
      <c r="AP77" s="132"/>
      <c r="AQ77" s="130"/>
      <c r="AR77" s="131"/>
      <c r="AS77" s="131"/>
      <c r="AT77" s="132"/>
      <c r="AU77" s="130"/>
      <c r="AV77" s="131"/>
      <c r="AW77" s="131"/>
      <c r="AX77" s="132"/>
      <c r="AY77" s="130"/>
      <c r="AZ77" s="134">
        <f>IF(ISNUMBER(FIND(AY$13,$G77)),$I77,IF(ISNUMBER(FIND(AY$13,$H77)),$J77,""))</f>
        <v>193</v>
      </c>
      <c r="BA77" s="131"/>
      <c r="BB77" s="132"/>
      <c r="BC77" s="130"/>
      <c r="BD77" s="131"/>
      <c r="BE77" s="131"/>
      <c r="BF77" s="132"/>
    </row>
    <row r="78" spans="2:70" x14ac:dyDescent="0.3">
      <c r="B78" s="754"/>
      <c r="C78" s="564"/>
      <c r="D78" s="746"/>
      <c r="E78" s="599" t="s">
        <v>23</v>
      </c>
      <c r="F78" s="600"/>
      <c r="G78" s="220" t="s">
        <v>0</v>
      </c>
      <c r="H78" s="221" t="s">
        <v>8</v>
      </c>
      <c r="I78" s="222">
        <v>185</v>
      </c>
      <c r="J78" s="222">
        <v>224</v>
      </c>
      <c r="K78" s="130"/>
      <c r="L78" s="134">
        <f>IF(ISNUMBER(FIND(K$13,$G78)),$I78,IF(ISNUMBER(FIND(K$13,$H78)),$J78,""))</f>
        <v>185</v>
      </c>
      <c r="M78" s="131"/>
      <c r="N78" s="132"/>
      <c r="O78" s="130"/>
      <c r="P78" s="131"/>
      <c r="Q78" s="131"/>
      <c r="R78" s="132"/>
      <c r="S78" s="130"/>
      <c r="T78" s="131"/>
      <c r="U78" s="131"/>
      <c r="V78" s="132"/>
      <c r="W78" s="130"/>
      <c r="X78" s="131"/>
      <c r="Y78" s="131"/>
      <c r="Z78" s="132"/>
      <c r="AA78" s="130"/>
      <c r="AB78" s="131"/>
      <c r="AC78" s="131"/>
      <c r="AD78" s="132"/>
      <c r="AE78" s="130"/>
      <c r="AF78" s="131"/>
      <c r="AG78" s="131"/>
      <c r="AH78" s="132"/>
      <c r="AI78" s="130"/>
      <c r="AJ78" s="131"/>
      <c r="AK78" s="131"/>
      <c r="AL78" s="132"/>
      <c r="AM78" s="130"/>
      <c r="AN78" s="131"/>
      <c r="AO78" s="131"/>
      <c r="AP78" s="132"/>
      <c r="AQ78" s="130"/>
      <c r="AR78" s="134">
        <f>IF(ISNUMBER(FIND(AQ$13,$G78)),$I78,IF(ISNUMBER(FIND(AQ$13,$H78)),$J78,""))</f>
        <v>224</v>
      </c>
      <c r="AS78" s="131"/>
      <c r="AT78" s="132"/>
      <c r="AU78" s="130"/>
      <c r="AV78" s="131"/>
      <c r="AW78" s="131"/>
      <c r="AX78" s="132"/>
      <c r="AY78" s="130"/>
      <c r="AZ78" s="131"/>
      <c r="BA78" s="131"/>
      <c r="BB78" s="132"/>
      <c r="BC78" s="130"/>
      <c r="BD78" s="131"/>
      <c r="BE78" s="131"/>
      <c r="BF78" s="132"/>
    </row>
    <row r="79" spans="2:70" ht="14.5" thickBot="1" x14ac:dyDescent="0.35">
      <c r="B79" s="754"/>
      <c r="C79" s="564"/>
      <c r="D79" s="746"/>
      <c r="E79" s="599" t="s">
        <v>24</v>
      </c>
      <c r="F79" s="600"/>
      <c r="G79" s="223" t="s">
        <v>2</v>
      </c>
      <c r="H79" s="224" t="s">
        <v>3</v>
      </c>
      <c r="I79" s="225">
        <v>120</v>
      </c>
      <c r="J79" s="225">
        <v>222</v>
      </c>
      <c r="K79" s="136"/>
      <c r="L79" s="137"/>
      <c r="M79" s="137"/>
      <c r="N79" s="138"/>
      <c r="O79" s="136"/>
      <c r="P79" s="137"/>
      <c r="Q79" s="137"/>
      <c r="R79" s="138"/>
      <c r="S79" s="136"/>
      <c r="T79" s="181">
        <f>IF(ISNUMBER(FIND(S$13,$G79)),$I79,IF(ISNUMBER(FIND(S$13,$H79)),$J79,""))</f>
        <v>120</v>
      </c>
      <c r="U79" s="137"/>
      <c r="V79" s="138"/>
      <c r="W79" s="136"/>
      <c r="X79" s="181">
        <f>IF(ISNUMBER(FIND(W$13,$G79)),$I79,IF(ISNUMBER(FIND(W$13,$H79)),$J79,""))</f>
        <v>222</v>
      </c>
      <c r="Y79" s="137"/>
      <c r="Z79" s="138"/>
      <c r="AA79" s="136"/>
      <c r="AB79" s="137"/>
      <c r="AC79" s="137"/>
      <c r="AD79" s="138"/>
      <c r="AE79" s="136"/>
      <c r="AF79" s="137"/>
      <c r="AG79" s="137"/>
      <c r="AH79" s="138"/>
      <c r="AI79" s="136"/>
      <c r="AJ79" s="137"/>
      <c r="AK79" s="137"/>
      <c r="AL79" s="138"/>
      <c r="AM79" s="136"/>
      <c r="AN79" s="137"/>
      <c r="AO79" s="137"/>
      <c r="AP79" s="138"/>
      <c r="AQ79" s="136"/>
      <c r="AR79" s="137"/>
      <c r="AS79" s="137"/>
      <c r="AT79" s="138"/>
      <c r="AU79" s="136"/>
      <c r="AV79" s="137"/>
      <c r="AW79" s="137"/>
      <c r="AX79" s="138"/>
      <c r="AY79" s="136"/>
      <c r="AZ79" s="137"/>
      <c r="BA79" s="137"/>
      <c r="BB79" s="138"/>
      <c r="BC79" s="136"/>
      <c r="BD79" s="137"/>
      <c r="BE79" s="137"/>
      <c r="BF79" s="138"/>
    </row>
    <row r="80" spans="2:70" x14ac:dyDescent="0.3">
      <c r="B80" s="754"/>
      <c r="C80" s="564"/>
      <c r="D80" s="745" t="s">
        <v>247</v>
      </c>
      <c r="E80" s="725" t="s">
        <v>17</v>
      </c>
      <c r="F80" s="726"/>
      <c r="G80" s="217" t="s">
        <v>5</v>
      </c>
      <c r="H80" s="218" t="s">
        <v>10</v>
      </c>
      <c r="I80" s="201">
        <f>I72/MAX($I72:$J72)*210</f>
        <v>210</v>
      </c>
      <c r="J80" s="202">
        <f t="shared" ref="J80:J87" si="17">J72/MAX($I72:$J72)*210</f>
        <v>130.25316455696202</v>
      </c>
      <c r="K80" s="139"/>
      <c r="L80" s="128"/>
      <c r="M80" s="128"/>
      <c r="N80" s="129"/>
      <c r="O80" s="139"/>
      <c r="P80" s="128"/>
      <c r="Q80" s="128"/>
      <c r="R80" s="129"/>
      <c r="S80" s="139"/>
      <c r="T80" s="128"/>
      <c r="U80" s="128"/>
      <c r="V80" s="129"/>
      <c r="W80" s="139"/>
      <c r="X80" s="128"/>
      <c r="Y80" s="128"/>
      <c r="Z80" s="129"/>
      <c r="AA80" s="139"/>
      <c r="AB80" s="128"/>
      <c r="AC80" s="128"/>
      <c r="AD80" s="129"/>
      <c r="AE80" s="139"/>
      <c r="AF80" s="134">
        <f>AF72/MAX($K72:$BE72)*210</f>
        <v>210</v>
      </c>
      <c r="AG80" s="128"/>
      <c r="AH80" s="129"/>
      <c r="AI80" s="139"/>
      <c r="AJ80" s="128"/>
      <c r="AK80" s="128"/>
      <c r="AL80" s="129"/>
      <c r="AM80" s="139"/>
      <c r="AN80" s="128"/>
      <c r="AO80" s="128"/>
      <c r="AP80" s="129"/>
      <c r="AQ80" s="139"/>
      <c r="AR80" s="128"/>
      <c r="AS80" s="128"/>
      <c r="AT80" s="129"/>
      <c r="AU80" s="139"/>
      <c r="AV80" s="128"/>
      <c r="AW80" s="128"/>
      <c r="AX80" s="129"/>
      <c r="AY80" s="139"/>
      <c r="AZ80" s="134">
        <f>AZ72/MAX($K72:$BE72)*210</f>
        <v>130.25316455696202</v>
      </c>
      <c r="BA80" s="128"/>
      <c r="BB80" s="129"/>
      <c r="BC80" s="139"/>
      <c r="BD80" s="128"/>
      <c r="BE80" s="128"/>
      <c r="BF80" s="129"/>
    </row>
    <row r="81" spans="2:70" x14ac:dyDescent="0.3">
      <c r="B81" s="754"/>
      <c r="C81" s="564"/>
      <c r="D81" s="746"/>
      <c r="E81" s="599" t="s">
        <v>18</v>
      </c>
      <c r="F81" s="600"/>
      <c r="G81" s="220" t="s">
        <v>0</v>
      </c>
      <c r="H81" s="221" t="s">
        <v>1</v>
      </c>
      <c r="I81" s="203">
        <f t="shared" ref="I81" si="18">I73/MAX($I73:$J73)*210</f>
        <v>210</v>
      </c>
      <c r="J81" s="204">
        <f t="shared" si="17"/>
        <v>143.97379912663757</v>
      </c>
      <c r="K81" s="130"/>
      <c r="L81" s="134">
        <f>L73/MAX($K73:$BE73)*210</f>
        <v>210</v>
      </c>
      <c r="M81" s="131"/>
      <c r="N81" s="132"/>
      <c r="O81" s="130"/>
      <c r="P81" s="134">
        <f>P73/MAX($K73:$BE73)*210</f>
        <v>143.97379912663757</v>
      </c>
      <c r="Q81" s="131"/>
      <c r="R81" s="132"/>
      <c r="S81" s="130"/>
      <c r="T81" s="131"/>
      <c r="U81" s="131"/>
      <c r="V81" s="132"/>
      <c r="W81" s="130"/>
      <c r="X81" s="131"/>
      <c r="Y81" s="131"/>
      <c r="Z81" s="132"/>
      <c r="AA81" s="130"/>
      <c r="AB81" s="131"/>
      <c r="AC81" s="131"/>
      <c r="AD81" s="132"/>
      <c r="AE81" s="130"/>
      <c r="AF81" s="131"/>
      <c r="AG81" s="131"/>
      <c r="AH81" s="132"/>
      <c r="AI81" s="130"/>
      <c r="AJ81" s="131"/>
      <c r="AK81" s="131"/>
      <c r="AL81" s="132"/>
      <c r="AM81" s="130"/>
      <c r="AN81" s="131"/>
      <c r="AO81" s="131"/>
      <c r="AP81" s="132"/>
      <c r="AQ81" s="130"/>
      <c r="AR81" s="131"/>
      <c r="AS81" s="131"/>
      <c r="AT81" s="132"/>
      <c r="AU81" s="130"/>
      <c r="AV81" s="131"/>
      <c r="AW81" s="131"/>
      <c r="AX81" s="132"/>
      <c r="AY81" s="130"/>
      <c r="AZ81" s="131"/>
      <c r="BA81" s="131"/>
      <c r="BB81" s="132"/>
      <c r="BC81" s="130"/>
      <c r="BD81" s="131"/>
      <c r="BE81" s="131"/>
      <c r="BF81" s="132"/>
    </row>
    <row r="82" spans="2:70" x14ac:dyDescent="0.3">
      <c r="B82" s="754"/>
      <c r="C82" s="564"/>
      <c r="D82" s="746"/>
      <c r="E82" s="599" t="s">
        <v>19</v>
      </c>
      <c r="F82" s="600"/>
      <c r="G82" s="220" t="s">
        <v>4</v>
      </c>
      <c r="H82" s="221" t="s">
        <v>8</v>
      </c>
      <c r="I82" s="203">
        <f t="shared" ref="I82" si="19">I74/MAX($I74:$J74)*210</f>
        <v>171.04072398190044</v>
      </c>
      <c r="J82" s="204">
        <f t="shared" si="17"/>
        <v>210</v>
      </c>
      <c r="K82" s="130"/>
      <c r="L82" s="131"/>
      <c r="M82" s="131"/>
      <c r="N82" s="132"/>
      <c r="O82" s="130"/>
      <c r="P82" s="131"/>
      <c r="Q82" s="131"/>
      <c r="R82" s="132"/>
      <c r="S82" s="130"/>
      <c r="T82" s="131"/>
      <c r="U82" s="131"/>
      <c r="V82" s="132"/>
      <c r="W82" s="130"/>
      <c r="X82" s="131"/>
      <c r="Y82" s="131"/>
      <c r="Z82" s="132"/>
      <c r="AA82" s="130"/>
      <c r="AB82" s="134">
        <f>AB74/MAX($K74:$BE74)*210</f>
        <v>171.04072398190044</v>
      </c>
      <c r="AC82" s="131"/>
      <c r="AD82" s="132"/>
      <c r="AE82" s="130"/>
      <c r="AF82" s="131"/>
      <c r="AG82" s="131"/>
      <c r="AH82" s="132"/>
      <c r="AI82" s="130"/>
      <c r="AJ82" s="131"/>
      <c r="AK82" s="131"/>
      <c r="AL82" s="132"/>
      <c r="AM82" s="130"/>
      <c r="AN82" s="131"/>
      <c r="AO82" s="131"/>
      <c r="AP82" s="132"/>
      <c r="AQ82" s="130"/>
      <c r="AR82" s="134">
        <f>AR74/MAX($K74:$BE74)*210</f>
        <v>210</v>
      </c>
      <c r="AS82" s="131"/>
      <c r="AT82" s="132"/>
      <c r="AU82" s="130"/>
      <c r="AV82" s="131"/>
      <c r="AW82" s="131"/>
      <c r="AX82" s="132"/>
      <c r="AY82" s="130"/>
      <c r="AZ82" s="131"/>
      <c r="BA82" s="131"/>
      <c r="BB82" s="132"/>
      <c r="BC82" s="130"/>
      <c r="BD82" s="131"/>
      <c r="BE82" s="131"/>
      <c r="BF82" s="132"/>
    </row>
    <row r="83" spans="2:70" x14ac:dyDescent="0.3">
      <c r="B83" s="754"/>
      <c r="C83" s="564"/>
      <c r="D83" s="746"/>
      <c r="E83" s="599" t="s">
        <v>20</v>
      </c>
      <c r="F83" s="600"/>
      <c r="G83" s="220" t="s">
        <v>1</v>
      </c>
      <c r="H83" s="221" t="s">
        <v>5</v>
      </c>
      <c r="I83" s="203">
        <f t="shared" ref="I83" si="20">I75/MAX($I75:$J75)*210</f>
        <v>210</v>
      </c>
      <c r="J83" s="204">
        <f t="shared" si="17"/>
        <v>203.41176470588235</v>
      </c>
      <c r="K83" s="130"/>
      <c r="L83" s="131"/>
      <c r="M83" s="131"/>
      <c r="N83" s="132"/>
      <c r="O83" s="130"/>
      <c r="P83" s="134">
        <f>P75/MAX($K75:$BE75)*210</f>
        <v>210</v>
      </c>
      <c r="Q83" s="131"/>
      <c r="R83" s="132"/>
      <c r="S83" s="130"/>
      <c r="T83" s="131"/>
      <c r="U83" s="131"/>
      <c r="V83" s="132"/>
      <c r="W83" s="130"/>
      <c r="X83" s="131"/>
      <c r="Y83" s="131"/>
      <c r="Z83" s="132"/>
      <c r="AA83" s="130"/>
      <c r="AB83" s="131"/>
      <c r="AC83" s="131"/>
      <c r="AD83" s="132"/>
      <c r="AE83" s="130"/>
      <c r="AF83" s="134">
        <f>AF75/MAX($K75:$BE75)*210</f>
        <v>203.41176470588235</v>
      </c>
      <c r="AG83" s="131"/>
      <c r="AH83" s="132"/>
      <c r="AI83" s="130"/>
      <c r="AJ83" s="131"/>
      <c r="AK83" s="131"/>
      <c r="AL83" s="132"/>
      <c r="AM83" s="130"/>
      <c r="AN83" s="131"/>
      <c r="AO83" s="131"/>
      <c r="AP83" s="132"/>
      <c r="AQ83" s="130"/>
      <c r="AR83" s="131"/>
      <c r="AS83" s="131"/>
      <c r="AT83" s="132"/>
      <c r="AU83" s="130"/>
      <c r="AV83" s="131"/>
      <c r="AW83" s="131"/>
      <c r="AX83" s="132"/>
      <c r="AY83" s="130"/>
      <c r="AZ83" s="131"/>
      <c r="BA83" s="131"/>
      <c r="BB83" s="132"/>
      <c r="BC83" s="130"/>
      <c r="BD83" s="131"/>
      <c r="BE83" s="131"/>
      <c r="BF83" s="132"/>
    </row>
    <row r="84" spans="2:70" x14ac:dyDescent="0.3">
      <c r="B84" s="754"/>
      <c r="C84" s="564"/>
      <c r="D84" s="746"/>
      <c r="E84" s="599" t="s">
        <v>21</v>
      </c>
      <c r="F84" s="600"/>
      <c r="G84" s="220" t="s">
        <v>3</v>
      </c>
      <c r="H84" s="221" t="s">
        <v>11</v>
      </c>
      <c r="I84" s="203">
        <f t="shared" ref="I84" si="21">I76/MAX($I76:$J76)*210</f>
        <v>75.599999999999994</v>
      </c>
      <c r="J84" s="204">
        <f t="shared" si="17"/>
        <v>210</v>
      </c>
      <c r="K84" s="130"/>
      <c r="L84" s="131"/>
      <c r="M84" s="131"/>
      <c r="N84" s="132"/>
      <c r="O84" s="130"/>
      <c r="P84" s="131"/>
      <c r="Q84" s="131"/>
      <c r="R84" s="132"/>
      <c r="S84" s="130"/>
      <c r="T84" s="131"/>
      <c r="U84" s="131"/>
      <c r="V84" s="132"/>
      <c r="W84" s="130"/>
      <c r="X84" s="134">
        <f>X76/MAX($K76:$BE76)*210</f>
        <v>75.599999999999994</v>
      </c>
      <c r="Y84" s="131"/>
      <c r="Z84" s="132"/>
      <c r="AA84" s="130"/>
      <c r="AB84" s="131"/>
      <c r="AC84" s="131"/>
      <c r="AD84" s="132"/>
      <c r="AE84" s="130"/>
      <c r="AF84" s="131"/>
      <c r="AG84" s="131"/>
      <c r="AH84" s="132"/>
      <c r="AI84" s="130"/>
      <c r="AJ84" s="131"/>
      <c r="AK84" s="131"/>
      <c r="AL84" s="132"/>
      <c r="AM84" s="130"/>
      <c r="AN84" s="131"/>
      <c r="AO84" s="131"/>
      <c r="AP84" s="132"/>
      <c r="AQ84" s="130"/>
      <c r="AR84" s="131"/>
      <c r="AS84" s="131"/>
      <c r="AT84" s="132"/>
      <c r="AU84" s="130"/>
      <c r="AV84" s="131"/>
      <c r="AW84" s="131"/>
      <c r="AX84" s="132"/>
      <c r="AY84" s="130"/>
      <c r="AZ84" s="131"/>
      <c r="BA84" s="131"/>
      <c r="BB84" s="132"/>
      <c r="BC84" s="130"/>
      <c r="BD84" s="134">
        <f>BD76/MAX($K76:$BE76)*210</f>
        <v>210</v>
      </c>
      <c r="BE84" s="131"/>
      <c r="BF84" s="132"/>
    </row>
    <row r="85" spans="2:70" x14ac:dyDescent="0.3">
      <c r="B85" s="754"/>
      <c r="C85" s="564"/>
      <c r="D85" s="746"/>
      <c r="E85" s="599" t="s">
        <v>22</v>
      </c>
      <c r="F85" s="600"/>
      <c r="G85" s="220" t="s">
        <v>6</v>
      </c>
      <c r="H85" s="221" t="s">
        <v>10</v>
      </c>
      <c r="I85" s="203">
        <f t="shared" ref="I85" si="22">I77/MAX($I77:$J77)*210</f>
        <v>210</v>
      </c>
      <c r="J85" s="204">
        <f t="shared" si="17"/>
        <v>184.22727272727275</v>
      </c>
      <c r="K85" s="130"/>
      <c r="L85" s="131"/>
      <c r="M85" s="131"/>
      <c r="N85" s="132"/>
      <c r="O85" s="130"/>
      <c r="P85" s="131"/>
      <c r="Q85" s="131"/>
      <c r="R85" s="132"/>
      <c r="S85" s="130"/>
      <c r="T85" s="131"/>
      <c r="U85" s="131"/>
      <c r="V85" s="132"/>
      <c r="W85" s="130"/>
      <c r="X85" s="131"/>
      <c r="Y85" s="131"/>
      <c r="Z85" s="132"/>
      <c r="AA85" s="130"/>
      <c r="AB85" s="131"/>
      <c r="AC85" s="131"/>
      <c r="AD85" s="132"/>
      <c r="AE85" s="130"/>
      <c r="AF85" s="131"/>
      <c r="AG85" s="131"/>
      <c r="AH85" s="132"/>
      <c r="AI85" s="130"/>
      <c r="AJ85" s="134">
        <f>AJ77/MAX($K77:$BE77)*210</f>
        <v>210</v>
      </c>
      <c r="AK85" s="131"/>
      <c r="AL85" s="132"/>
      <c r="AM85" s="130"/>
      <c r="AN85" s="131"/>
      <c r="AO85" s="131"/>
      <c r="AP85" s="132"/>
      <c r="AQ85" s="130"/>
      <c r="AR85" s="131"/>
      <c r="AS85" s="131"/>
      <c r="AT85" s="132"/>
      <c r="AU85" s="130"/>
      <c r="AV85" s="131"/>
      <c r="AW85" s="131"/>
      <c r="AX85" s="132"/>
      <c r="AY85" s="130"/>
      <c r="AZ85" s="134">
        <f>AZ77/MAX($K77:$BE77)*210</f>
        <v>184.22727272727275</v>
      </c>
      <c r="BA85" s="131"/>
      <c r="BB85" s="132"/>
      <c r="BC85" s="130"/>
      <c r="BD85" s="131"/>
      <c r="BE85" s="131"/>
      <c r="BF85" s="132"/>
    </row>
    <row r="86" spans="2:70" x14ac:dyDescent="0.3">
      <c r="B86" s="754"/>
      <c r="C86" s="564"/>
      <c r="D86" s="746"/>
      <c r="E86" s="599" t="s">
        <v>23</v>
      </c>
      <c r="F86" s="600"/>
      <c r="G86" s="220" t="s">
        <v>0</v>
      </c>
      <c r="H86" s="221" t="s">
        <v>8</v>
      </c>
      <c r="I86" s="203">
        <f t="shared" ref="I86" si="23">I78/MAX($I78:$J78)*210</f>
        <v>173.4375</v>
      </c>
      <c r="J86" s="204">
        <f t="shared" si="17"/>
        <v>210</v>
      </c>
      <c r="K86" s="130"/>
      <c r="L86" s="134">
        <f>L78/MAX($K78:$BE78)*210</f>
        <v>173.4375</v>
      </c>
      <c r="M86" s="131"/>
      <c r="N86" s="132"/>
      <c r="O86" s="130"/>
      <c r="P86" s="131"/>
      <c r="Q86" s="131"/>
      <c r="R86" s="132"/>
      <c r="S86" s="130"/>
      <c r="T86" s="131"/>
      <c r="U86" s="131"/>
      <c r="V86" s="132"/>
      <c r="W86" s="130"/>
      <c r="X86" s="131"/>
      <c r="Y86" s="131"/>
      <c r="Z86" s="132"/>
      <c r="AA86" s="130"/>
      <c r="AB86" s="131"/>
      <c r="AC86" s="131"/>
      <c r="AD86" s="132"/>
      <c r="AE86" s="130"/>
      <c r="AF86" s="131"/>
      <c r="AG86" s="131"/>
      <c r="AH86" s="132"/>
      <c r="AI86" s="130"/>
      <c r="AJ86" s="131"/>
      <c r="AK86" s="131"/>
      <c r="AL86" s="132"/>
      <c r="AM86" s="130"/>
      <c r="AN86" s="131"/>
      <c r="AO86" s="131"/>
      <c r="AP86" s="132"/>
      <c r="AQ86" s="130"/>
      <c r="AR86" s="134">
        <f>AR78/MAX($K78:$BE78)*210</f>
        <v>210</v>
      </c>
      <c r="AS86" s="131"/>
      <c r="AT86" s="132"/>
      <c r="AU86" s="130"/>
      <c r="AV86" s="131"/>
      <c r="AW86" s="131"/>
      <c r="AX86" s="132"/>
      <c r="AY86" s="130"/>
      <c r="AZ86" s="131"/>
      <c r="BA86" s="131"/>
      <c r="BB86" s="132"/>
      <c r="BC86" s="130"/>
      <c r="BD86" s="131"/>
      <c r="BE86" s="131"/>
      <c r="BF86" s="132"/>
    </row>
    <row r="87" spans="2:70" ht="14.5" thickBot="1" x14ac:dyDescent="0.35">
      <c r="B87" s="754"/>
      <c r="C87" s="564"/>
      <c r="D87" s="746"/>
      <c r="E87" s="599" t="s">
        <v>24</v>
      </c>
      <c r="F87" s="600"/>
      <c r="G87" s="223" t="s">
        <v>2</v>
      </c>
      <c r="H87" s="224" t="s">
        <v>3</v>
      </c>
      <c r="I87" s="267">
        <f t="shared" ref="I87" si="24">I79/MAX($I79:$J79)*210</f>
        <v>113.51351351351352</v>
      </c>
      <c r="J87" s="268">
        <f t="shared" si="17"/>
        <v>210</v>
      </c>
      <c r="K87" s="136"/>
      <c r="L87" s="137"/>
      <c r="M87" s="137"/>
      <c r="N87" s="138"/>
      <c r="O87" s="136"/>
      <c r="P87" s="137"/>
      <c r="Q87" s="137"/>
      <c r="R87" s="138"/>
      <c r="S87" s="136"/>
      <c r="T87" s="134">
        <f>T79/MAX($K79:$BE79)*210</f>
        <v>113.51351351351352</v>
      </c>
      <c r="U87" s="137"/>
      <c r="V87" s="138"/>
      <c r="W87" s="136"/>
      <c r="X87" s="134">
        <f>X79/MAX($K79:$BE79)*210</f>
        <v>210</v>
      </c>
      <c r="Y87" s="137"/>
      <c r="Z87" s="138"/>
      <c r="AA87" s="136"/>
      <c r="AB87" s="137"/>
      <c r="AC87" s="137"/>
      <c r="AD87" s="138"/>
      <c r="AE87" s="136"/>
      <c r="AF87" s="137"/>
      <c r="AG87" s="137"/>
      <c r="AH87" s="138"/>
      <c r="AI87" s="136"/>
      <c r="AJ87" s="137"/>
      <c r="AK87" s="137"/>
      <c r="AL87" s="138"/>
      <c r="AM87" s="136"/>
      <c r="AN87" s="137"/>
      <c r="AO87" s="137"/>
      <c r="AP87" s="138"/>
      <c r="AQ87" s="136"/>
      <c r="AR87" s="137"/>
      <c r="AS87" s="137"/>
      <c r="AT87" s="138"/>
      <c r="AU87" s="136"/>
      <c r="AV87" s="137"/>
      <c r="AW87" s="137"/>
      <c r="AX87" s="138"/>
      <c r="AY87" s="136"/>
      <c r="AZ87" s="137"/>
      <c r="BA87" s="137"/>
      <c r="BB87" s="138"/>
      <c r="BC87" s="136"/>
      <c r="BD87" s="137"/>
      <c r="BE87" s="137"/>
      <c r="BF87" s="138"/>
    </row>
    <row r="88" spans="2:70" ht="15" customHeight="1" x14ac:dyDescent="0.3">
      <c r="B88" s="754"/>
      <c r="C88" s="564"/>
      <c r="D88" s="728" t="s">
        <v>246</v>
      </c>
      <c r="E88" s="601" t="s">
        <v>17</v>
      </c>
      <c r="F88" s="602"/>
      <c r="G88" s="226" t="s">
        <v>0</v>
      </c>
      <c r="H88" s="227" t="s">
        <v>9</v>
      </c>
      <c r="I88" s="228">
        <v>14</v>
      </c>
      <c r="J88" s="229">
        <v>2</v>
      </c>
      <c r="K88" s="161"/>
      <c r="L88" s="162"/>
      <c r="M88" s="170">
        <f t="shared" ref="M88" si="25">IF(ISNUMBER(FIND(K$13,$G88)),$I88,IF(ISNUMBER(FIND(K$13,$H88)),$J88,""))</f>
        <v>14</v>
      </c>
      <c r="N88" s="163"/>
      <c r="O88" s="164"/>
      <c r="P88" s="162"/>
      <c r="Q88" s="131"/>
      <c r="R88" s="163"/>
      <c r="S88" s="164"/>
      <c r="T88" s="162"/>
      <c r="U88" s="131"/>
      <c r="V88" s="163"/>
      <c r="W88" s="164"/>
      <c r="X88" s="162"/>
      <c r="Y88" s="131"/>
      <c r="Z88" s="163"/>
      <c r="AA88" s="164"/>
      <c r="AB88" s="162"/>
      <c r="AC88" s="131"/>
      <c r="AD88" s="163"/>
      <c r="AE88" s="164"/>
      <c r="AF88" s="162"/>
      <c r="AG88" s="131"/>
      <c r="AH88" s="163"/>
      <c r="AI88" s="164"/>
      <c r="AJ88" s="162"/>
      <c r="AK88" s="131"/>
      <c r="AL88" s="163"/>
      <c r="AM88" s="164"/>
      <c r="AN88" s="162"/>
      <c r="AO88" s="131"/>
      <c r="AP88" s="163"/>
      <c r="AQ88" s="164"/>
      <c r="AR88" s="162"/>
      <c r="AS88" s="131"/>
      <c r="AT88" s="163"/>
      <c r="AU88" s="164"/>
      <c r="AV88" s="162"/>
      <c r="AW88" s="170">
        <f t="shared" ref="AW88" si="26">IF(ISNUMBER(FIND(AU$13,$G88)),$I88,IF(ISNUMBER(FIND(AU$13,$H88)),$J88,""))</f>
        <v>2</v>
      </c>
      <c r="AX88" s="163"/>
      <c r="AY88" s="164"/>
      <c r="AZ88" s="162"/>
      <c r="BA88" s="131"/>
      <c r="BB88" s="163"/>
      <c r="BC88" s="164"/>
      <c r="BD88" s="162"/>
      <c r="BE88" s="131"/>
      <c r="BF88" s="163"/>
      <c r="BH88">
        <v>9</v>
      </c>
      <c r="BI88" t="s">
        <v>35</v>
      </c>
      <c r="BL88" t="s">
        <v>40</v>
      </c>
      <c r="BN88" t="s">
        <v>50</v>
      </c>
      <c r="BP88" s="8" t="s">
        <v>58</v>
      </c>
      <c r="BR88" t="s">
        <v>65</v>
      </c>
    </row>
    <row r="89" spans="2:70" x14ac:dyDescent="0.3">
      <c r="B89" s="754"/>
      <c r="C89" s="564"/>
      <c r="D89" s="729"/>
      <c r="E89" s="603" t="s">
        <v>18</v>
      </c>
      <c r="F89" s="604"/>
      <c r="G89" s="230" t="s">
        <v>2</v>
      </c>
      <c r="H89" s="231" t="s">
        <v>3</v>
      </c>
      <c r="I89" s="228">
        <v>13</v>
      </c>
      <c r="J89" s="232">
        <v>14</v>
      </c>
      <c r="K89" s="166"/>
      <c r="L89" s="167"/>
      <c r="M89" s="131"/>
      <c r="N89" s="168"/>
      <c r="O89" s="169"/>
      <c r="P89" s="167"/>
      <c r="Q89" s="131"/>
      <c r="R89" s="168"/>
      <c r="S89" s="169"/>
      <c r="T89" s="167"/>
      <c r="U89" s="170">
        <f t="shared" ref="U89" si="27">IF(ISNUMBER(FIND(S$13,$G89)),$I89,IF(ISNUMBER(FIND(S$13,$H89)),$J89,""))</f>
        <v>13</v>
      </c>
      <c r="V89" s="168"/>
      <c r="W89" s="169"/>
      <c r="X89" s="167"/>
      <c r="Y89" s="170">
        <f t="shared" ref="Y89" si="28">IF(ISNUMBER(FIND(W$13,$G89)),$I89,IF(ISNUMBER(FIND(W$13,$H89)),$J89,""))</f>
        <v>14</v>
      </c>
      <c r="Z89" s="168"/>
      <c r="AA89" s="169"/>
      <c r="AB89" s="167"/>
      <c r="AC89" s="131"/>
      <c r="AD89" s="168"/>
      <c r="AE89" s="169"/>
      <c r="AF89" s="167"/>
      <c r="AG89" s="131"/>
      <c r="AH89" s="168"/>
      <c r="AI89" s="169"/>
      <c r="AJ89" s="167"/>
      <c r="AK89" s="131"/>
      <c r="AL89" s="168"/>
      <c r="AM89" s="169"/>
      <c r="AN89" s="167"/>
      <c r="AO89" s="131"/>
      <c r="AP89" s="168"/>
      <c r="AQ89" s="169"/>
      <c r="AR89" s="167"/>
      <c r="AS89" s="131"/>
      <c r="AT89" s="168"/>
      <c r="AU89" s="169"/>
      <c r="AV89" s="167"/>
      <c r="AW89" s="131"/>
      <c r="AX89" s="168"/>
      <c r="AY89" s="169"/>
      <c r="AZ89" s="167"/>
      <c r="BA89" s="131"/>
      <c r="BB89" s="168"/>
      <c r="BC89" s="169"/>
      <c r="BD89" s="167"/>
      <c r="BE89" s="131"/>
      <c r="BF89" s="168"/>
      <c r="BH89">
        <v>4</v>
      </c>
      <c r="BI89" t="s">
        <v>30</v>
      </c>
      <c r="BL89" t="s">
        <v>41</v>
      </c>
      <c r="BN89" t="s">
        <v>51</v>
      </c>
      <c r="BP89" t="s">
        <v>59</v>
      </c>
      <c r="BR89" t="s">
        <v>66</v>
      </c>
    </row>
    <row r="90" spans="2:70" x14ac:dyDescent="0.3">
      <c r="B90" s="754"/>
      <c r="C90" s="564"/>
      <c r="D90" s="729"/>
      <c r="E90" s="603" t="s">
        <v>19</v>
      </c>
      <c r="F90" s="604"/>
      <c r="G90" s="230" t="s">
        <v>5</v>
      </c>
      <c r="H90" s="231" t="s">
        <v>6</v>
      </c>
      <c r="I90" s="228">
        <v>7</v>
      </c>
      <c r="J90" s="232">
        <v>14</v>
      </c>
      <c r="K90" s="166"/>
      <c r="L90" s="167"/>
      <c r="M90" s="131"/>
      <c r="N90" s="168"/>
      <c r="O90" s="169"/>
      <c r="P90" s="167"/>
      <c r="Q90" s="131"/>
      <c r="R90" s="168"/>
      <c r="S90" s="169"/>
      <c r="T90" s="167"/>
      <c r="U90" s="131"/>
      <c r="V90" s="168"/>
      <c r="W90" s="169"/>
      <c r="X90" s="167"/>
      <c r="Y90" s="131"/>
      <c r="Z90" s="168"/>
      <c r="AA90" s="169"/>
      <c r="AB90" s="167"/>
      <c r="AC90" s="131"/>
      <c r="AD90" s="168"/>
      <c r="AE90" s="169"/>
      <c r="AF90" s="167"/>
      <c r="AG90" s="170">
        <f t="shared" ref="AG90" si="29">IF(ISNUMBER(FIND(AE$13,$G90)),$I90,IF(ISNUMBER(FIND(AE$13,$H90)),$J90,""))</f>
        <v>7</v>
      </c>
      <c r="AH90" s="168"/>
      <c r="AI90" s="169"/>
      <c r="AJ90" s="167"/>
      <c r="AK90" s="170">
        <f t="shared" ref="AK90" si="30">IF(ISNUMBER(FIND(AI$13,$G90)),$I90,IF(ISNUMBER(FIND(AI$13,$H90)),$J90,""))</f>
        <v>14</v>
      </c>
      <c r="AL90" s="168"/>
      <c r="AM90" s="169"/>
      <c r="AN90" s="167"/>
      <c r="AO90" s="131"/>
      <c r="AP90" s="168"/>
      <c r="AQ90" s="169"/>
      <c r="AR90" s="167"/>
      <c r="AS90" s="131"/>
      <c r="AT90" s="168"/>
      <c r="AU90" s="169"/>
      <c r="AV90" s="167"/>
      <c r="AW90" s="131"/>
      <c r="AX90" s="168"/>
      <c r="AY90" s="169"/>
      <c r="AZ90" s="167"/>
      <c r="BA90" s="131"/>
      <c r="BB90" s="168"/>
      <c r="BC90" s="169"/>
      <c r="BD90" s="167"/>
      <c r="BE90" s="131"/>
      <c r="BF90" s="168"/>
      <c r="BH90">
        <f>BH88*BH89</f>
        <v>36</v>
      </c>
      <c r="BI90" t="s">
        <v>32</v>
      </c>
      <c r="BL90" t="s">
        <v>42</v>
      </c>
      <c r="BN90" t="s">
        <v>55</v>
      </c>
      <c r="BP90" t="s">
        <v>60</v>
      </c>
      <c r="BR90" t="s">
        <v>67</v>
      </c>
    </row>
    <row r="91" spans="2:70" x14ac:dyDescent="0.3">
      <c r="B91" s="754"/>
      <c r="C91" s="564"/>
      <c r="D91" s="729"/>
      <c r="E91" s="603" t="s">
        <v>20</v>
      </c>
      <c r="F91" s="604"/>
      <c r="G91" s="230" t="s">
        <v>7</v>
      </c>
      <c r="H91" s="231" t="s">
        <v>11</v>
      </c>
      <c r="I91" s="228">
        <v>12</v>
      </c>
      <c r="J91" s="232">
        <v>14</v>
      </c>
      <c r="K91" s="166"/>
      <c r="L91" s="167"/>
      <c r="M91" s="131"/>
      <c r="N91" s="168"/>
      <c r="O91" s="169"/>
      <c r="P91" s="167"/>
      <c r="Q91" s="131"/>
      <c r="R91" s="168"/>
      <c r="S91" s="169"/>
      <c r="T91" s="167"/>
      <c r="U91" s="131"/>
      <c r="V91" s="168"/>
      <c r="W91" s="169"/>
      <c r="X91" s="167"/>
      <c r="Y91" s="131"/>
      <c r="Z91" s="168"/>
      <c r="AA91" s="169"/>
      <c r="AB91" s="167"/>
      <c r="AC91" s="131"/>
      <c r="AD91" s="168"/>
      <c r="AE91" s="169"/>
      <c r="AF91" s="167"/>
      <c r="AG91" s="131"/>
      <c r="AH91" s="168"/>
      <c r="AI91" s="169"/>
      <c r="AJ91" s="167"/>
      <c r="AK91" s="131"/>
      <c r="AL91" s="168"/>
      <c r="AM91" s="169"/>
      <c r="AN91" s="167"/>
      <c r="AO91" s="170">
        <f t="shared" ref="AO91" si="31">IF(ISNUMBER(FIND(AM$13,$G91)),$I91,IF(ISNUMBER(FIND(AM$13,$H91)),$J91,""))</f>
        <v>12</v>
      </c>
      <c r="AP91" s="168"/>
      <c r="AQ91" s="169"/>
      <c r="AR91" s="167"/>
      <c r="AS91" s="131"/>
      <c r="AT91" s="168"/>
      <c r="AU91" s="169"/>
      <c r="AV91" s="167"/>
      <c r="AW91" s="131"/>
      <c r="AX91" s="168"/>
      <c r="AY91" s="169"/>
      <c r="AZ91" s="167"/>
      <c r="BA91" s="131"/>
      <c r="BB91" s="168"/>
      <c r="BC91" s="169"/>
      <c r="BD91" s="167"/>
      <c r="BE91" s="170">
        <f t="shared" ref="BE91" si="32">IF(ISNUMBER(FIND(BC$13,$G91)),$I91,IF(ISNUMBER(FIND(BC$13,$H91)),$J91,""))</f>
        <v>14</v>
      </c>
      <c r="BF91" s="168"/>
    </row>
    <row r="92" spans="2:70" x14ac:dyDescent="0.3">
      <c r="B92" s="754"/>
      <c r="C92" s="564"/>
      <c r="D92" s="729"/>
      <c r="E92" s="603" t="s">
        <v>21</v>
      </c>
      <c r="F92" s="604"/>
      <c r="G92" s="230" t="s">
        <v>2</v>
      </c>
      <c r="H92" s="231" t="s">
        <v>4</v>
      </c>
      <c r="I92" s="228">
        <v>5</v>
      </c>
      <c r="J92" s="232">
        <v>14</v>
      </c>
      <c r="K92" s="166"/>
      <c r="L92" s="167"/>
      <c r="M92" s="131"/>
      <c r="N92" s="168"/>
      <c r="O92" s="169"/>
      <c r="P92" s="167"/>
      <c r="Q92" s="131"/>
      <c r="R92" s="168"/>
      <c r="S92" s="169"/>
      <c r="T92" s="167"/>
      <c r="U92" s="170">
        <f>IF(ISNUMBER(FIND(S$13,$G92)),$I92,IF(ISNUMBER(FIND(S$13,$H92)),$J92,""))</f>
        <v>5</v>
      </c>
      <c r="V92" s="168"/>
      <c r="W92" s="169"/>
      <c r="X92" s="167"/>
      <c r="Y92" s="131"/>
      <c r="Z92" s="168"/>
      <c r="AA92" s="169"/>
      <c r="AB92" s="167"/>
      <c r="AC92" s="170">
        <f>IF(ISNUMBER(FIND(AA$13,$G92)),$I92,IF(ISNUMBER(FIND(AA$13,$H92)),$J92,""))</f>
        <v>14</v>
      </c>
      <c r="AD92" s="168"/>
      <c r="AE92" s="169"/>
      <c r="AF92" s="167"/>
      <c r="AG92" s="131"/>
      <c r="AH92" s="168"/>
      <c r="AI92" s="169"/>
      <c r="AJ92" s="167"/>
      <c r="AK92" s="131"/>
      <c r="AL92" s="168"/>
      <c r="AM92" s="169"/>
      <c r="AN92" s="167"/>
      <c r="AO92" s="131"/>
      <c r="AP92" s="168"/>
      <c r="AQ92" s="169"/>
      <c r="AR92" s="167"/>
      <c r="AS92" s="131"/>
      <c r="AT92" s="168"/>
      <c r="AU92" s="169"/>
      <c r="AV92" s="167"/>
      <c r="AW92" s="131"/>
      <c r="AX92" s="168"/>
      <c r="AY92" s="169"/>
      <c r="AZ92" s="167"/>
      <c r="BA92" s="131"/>
      <c r="BB92" s="168"/>
      <c r="BC92" s="169"/>
      <c r="BD92" s="167"/>
      <c r="BE92" s="131"/>
      <c r="BF92" s="168"/>
    </row>
    <row r="93" spans="2:70" x14ac:dyDescent="0.3">
      <c r="B93" s="754"/>
      <c r="C93" s="564"/>
      <c r="D93" s="729"/>
      <c r="E93" s="603" t="s">
        <v>22</v>
      </c>
      <c r="F93" s="604"/>
      <c r="G93" s="230" t="s">
        <v>5</v>
      </c>
      <c r="H93" s="231" t="s">
        <v>11</v>
      </c>
      <c r="I93" s="228">
        <v>0</v>
      </c>
      <c r="J93" s="232">
        <v>14</v>
      </c>
      <c r="K93" s="166"/>
      <c r="L93" s="167"/>
      <c r="M93" s="131"/>
      <c r="N93" s="168"/>
      <c r="O93" s="169"/>
      <c r="P93" s="167"/>
      <c r="Q93" s="131"/>
      <c r="R93" s="168"/>
      <c r="S93" s="169"/>
      <c r="T93" s="167"/>
      <c r="U93" s="131"/>
      <c r="V93" s="168"/>
      <c r="W93" s="169"/>
      <c r="X93" s="167"/>
      <c r="Y93" s="131"/>
      <c r="Z93" s="168"/>
      <c r="AA93" s="169"/>
      <c r="AB93" s="167"/>
      <c r="AC93" s="131"/>
      <c r="AD93" s="168"/>
      <c r="AE93" s="169"/>
      <c r="AF93" s="167"/>
      <c r="AG93" s="170">
        <f>IF(ISNUMBER(FIND(AE$13,$G93)),$I93,IF(ISNUMBER(FIND(AE$13,$H93)),$J93,""))</f>
        <v>0</v>
      </c>
      <c r="AH93" s="168"/>
      <c r="AI93" s="169"/>
      <c r="AJ93" s="167"/>
      <c r="AK93" s="131"/>
      <c r="AL93" s="168"/>
      <c r="AM93" s="169"/>
      <c r="AN93" s="167"/>
      <c r="AO93" s="131"/>
      <c r="AP93" s="168"/>
      <c r="AQ93" s="169"/>
      <c r="AR93" s="167"/>
      <c r="AS93" s="131"/>
      <c r="AT93" s="168"/>
      <c r="AU93" s="169"/>
      <c r="AV93" s="167"/>
      <c r="AW93" s="131"/>
      <c r="AX93" s="168"/>
      <c r="AY93" s="169"/>
      <c r="AZ93" s="167"/>
      <c r="BA93" s="131"/>
      <c r="BB93" s="168"/>
      <c r="BC93" s="169"/>
      <c r="BD93" s="167"/>
      <c r="BE93" s="170">
        <f>IF(ISNUMBER(FIND(BC$13,$G93)),$I93,IF(ISNUMBER(FIND(BC$13,$H93)),$J93,""))</f>
        <v>14</v>
      </c>
      <c r="BF93" s="168"/>
    </row>
    <row r="94" spans="2:70" x14ac:dyDescent="0.3">
      <c r="B94" s="754"/>
      <c r="C94" s="564"/>
      <c r="D94" s="729"/>
      <c r="E94" s="603" t="s">
        <v>23</v>
      </c>
      <c r="F94" s="604"/>
      <c r="G94" s="230" t="s">
        <v>7</v>
      </c>
      <c r="H94" s="231" t="s">
        <v>10</v>
      </c>
      <c r="I94" s="228">
        <v>14</v>
      </c>
      <c r="J94" s="232">
        <v>3</v>
      </c>
      <c r="K94" s="166"/>
      <c r="L94" s="167"/>
      <c r="M94" s="131"/>
      <c r="N94" s="168"/>
      <c r="O94" s="169"/>
      <c r="P94" s="167"/>
      <c r="Q94" s="131"/>
      <c r="R94" s="168"/>
      <c r="S94" s="169"/>
      <c r="T94" s="167"/>
      <c r="U94" s="131"/>
      <c r="V94" s="168"/>
      <c r="W94" s="169"/>
      <c r="X94" s="167"/>
      <c r="Y94" s="131"/>
      <c r="Z94" s="168"/>
      <c r="AA94" s="169"/>
      <c r="AB94" s="167"/>
      <c r="AC94" s="131"/>
      <c r="AD94" s="168"/>
      <c r="AE94" s="169"/>
      <c r="AF94" s="167"/>
      <c r="AG94" s="131"/>
      <c r="AH94" s="168"/>
      <c r="AI94" s="169"/>
      <c r="AJ94" s="167"/>
      <c r="AK94" s="131"/>
      <c r="AL94" s="168"/>
      <c r="AM94" s="169"/>
      <c r="AN94" s="167"/>
      <c r="AO94" s="170">
        <f>IF(ISNUMBER(FIND(AM$13,$G94)),$I94,IF(ISNUMBER(FIND(AM$13,$H94)),$J94,""))</f>
        <v>14</v>
      </c>
      <c r="AP94" s="168"/>
      <c r="AQ94" s="169"/>
      <c r="AR94" s="167"/>
      <c r="AS94" s="131"/>
      <c r="AT94" s="168"/>
      <c r="AU94" s="169"/>
      <c r="AV94" s="167"/>
      <c r="AW94" s="131"/>
      <c r="AX94" s="168"/>
      <c r="AY94" s="169"/>
      <c r="AZ94" s="167"/>
      <c r="BA94" s="170">
        <f>IF(ISNUMBER(FIND(AY$13,$G94)),$I94,IF(ISNUMBER(FIND(AY$13,$H94)),$J94,""))</f>
        <v>3</v>
      </c>
      <c r="BB94" s="168"/>
      <c r="BC94" s="169"/>
      <c r="BD94" s="167"/>
      <c r="BE94" s="131"/>
      <c r="BF94" s="168"/>
    </row>
    <row r="95" spans="2:70" ht="14.5" thickBot="1" x14ac:dyDescent="0.35">
      <c r="B95" s="754"/>
      <c r="C95" s="564"/>
      <c r="D95" s="729"/>
      <c r="E95" s="603" t="s">
        <v>24</v>
      </c>
      <c r="F95" s="604"/>
      <c r="G95" s="233" t="s">
        <v>0</v>
      </c>
      <c r="H95" s="234" t="s">
        <v>1</v>
      </c>
      <c r="I95" s="235">
        <v>2</v>
      </c>
      <c r="J95" s="236">
        <v>14</v>
      </c>
      <c r="K95" s="171"/>
      <c r="L95" s="172"/>
      <c r="M95" s="170">
        <f>IF(ISNUMBER(FIND(K$13,$G95)),$I95,IF(ISNUMBER(FIND(K$13,$H95)),$J95,""))</f>
        <v>2</v>
      </c>
      <c r="N95" s="157"/>
      <c r="O95" s="173"/>
      <c r="P95" s="172"/>
      <c r="Q95" s="170">
        <f>IF(ISNUMBER(FIND(O$13,$G95)),$I95,IF(ISNUMBER(FIND(O$13,$H95)),$J95,""))</f>
        <v>14</v>
      </c>
      <c r="R95" s="157"/>
      <c r="S95" s="173"/>
      <c r="T95" s="172"/>
      <c r="U95" s="137"/>
      <c r="V95" s="157"/>
      <c r="W95" s="173"/>
      <c r="X95" s="172"/>
      <c r="Y95" s="137"/>
      <c r="Z95" s="157"/>
      <c r="AA95" s="173"/>
      <c r="AB95" s="172"/>
      <c r="AC95" s="137"/>
      <c r="AD95" s="157"/>
      <c r="AE95" s="173"/>
      <c r="AF95" s="172"/>
      <c r="AG95" s="137"/>
      <c r="AH95" s="157"/>
      <c r="AI95" s="173"/>
      <c r="AJ95" s="172"/>
      <c r="AK95" s="137"/>
      <c r="AL95" s="157"/>
      <c r="AM95" s="173"/>
      <c r="AN95" s="172"/>
      <c r="AO95" s="137"/>
      <c r="AP95" s="157"/>
      <c r="AQ95" s="173"/>
      <c r="AR95" s="172"/>
      <c r="AS95" s="137"/>
      <c r="AT95" s="157"/>
      <c r="AU95" s="173"/>
      <c r="AV95" s="172"/>
      <c r="AW95" s="137"/>
      <c r="AX95" s="157"/>
      <c r="AY95" s="173"/>
      <c r="AZ95" s="172"/>
      <c r="BA95" s="137"/>
      <c r="BB95" s="157"/>
      <c r="BC95" s="173"/>
      <c r="BD95" s="172"/>
      <c r="BE95" s="137"/>
      <c r="BF95" s="157"/>
    </row>
    <row r="96" spans="2:70" ht="15" customHeight="1" x14ac:dyDescent="0.3">
      <c r="B96" s="754"/>
      <c r="C96" s="564"/>
      <c r="D96" s="578" t="s">
        <v>297</v>
      </c>
      <c r="E96" s="580" t="s">
        <v>17</v>
      </c>
      <c r="F96" s="581"/>
      <c r="G96" s="237" t="s">
        <v>1</v>
      </c>
      <c r="H96" s="238" t="s">
        <v>11</v>
      </c>
      <c r="I96" s="239">
        <v>13</v>
      </c>
      <c r="J96" s="239">
        <v>43</v>
      </c>
      <c r="K96" s="142"/>
      <c r="L96" s="143"/>
      <c r="M96" s="143"/>
      <c r="N96" s="146"/>
      <c r="O96" s="142"/>
      <c r="P96" s="143"/>
      <c r="Q96" s="143"/>
      <c r="R96" s="175">
        <f>IF(ISNUMBER(FIND(O$13,$G96)),$I96,IF(ISNUMBER(FIND(O$13,$H96)),$J96,""))</f>
        <v>13</v>
      </c>
      <c r="S96" s="142"/>
      <c r="T96" s="143"/>
      <c r="U96" s="131"/>
      <c r="V96" s="144"/>
      <c r="W96" s="142"/>
      <c r="X96" s="143"/>
      <c r="Y96" s="131"/>
      <c r="Z96" s="144"/>
      <c r="AA96" s="142"/>
      <c r="AB96" s="143"/>
      <c r="AC96" s="131"/>
      <c r="AD96" s="144"/>
      <c r="AE96" s="142"/>
      <c r="AF96" s="143"/>
      <c r="AG96" s="131"/>
      <c r="AH96" s="168"/>
      <c r="AI96" s="142"/>
      <c r="AJ96" s="143"/>
      <c r="AK96" s="131"/>
      <c r="AL96" s="144"/>
      <c r="AM96" s="142"/>
      <c r="AN96" s="143"/>
      <c r="AO96" s="131"/>
      <c r="AP96" s="144"/>
      <c r="AQ96" s="142"/>
      <c r="AR96" s="143"/>
      <c r="AS96" s="131"/>
      <c r="AT96" s="144"/>
      <c r="AU96" s="142"/>
      <c r="AV96" s="143"/>
      <c r="AW96" s="131"/>
      <c r="AX96" s="144"/>
      <c r="AY96" s="142"/>
      <c r="AZ96" s="143"/>
      <c r="BA96" s="131"/>
      <c r="BB96" s="144"/>
      <c r="BC96" s="142"/>
      <c r="BD96" s="143"/>
      <c r="BE96" s="143"/>
      <c r="BF96" s="175">
        <f t="shared" ref="BF96" si="33">IF(ISNUMBER(FIND(BC$13,$G96)),$I96,IF(ISNUMBER(FIND(BC$13,$H96)),$J96,""))</f>
        <v>43</v>
      </c>
      <c r="BH96">
        <v>9</v>
      </c>
      <c r="BI96" t="s">
        <v>35</v>
      </c>
      <c r="BL96" t="s">
        <v>40</v>
      </c>
      <c r="BN96" t="s">
        <v>50</v>
      </c>
      <c r="BP96" s="8" t="s">
        <v>58</v>
      </c>
      <c r="BR96" t="s">
        <v>65</v>
      </c>
    </row>
    <row r="97" spans="2:70" x14ac:dyDescent="0.3">
      <c r="B97" s="754"/>
      <c r="C97" s="564"/>
      <c r="D97" s="579"/>
      <c r="E97" s="582" t="s">
        <v>18</v>
      </c>
      <c r="F97" s="583"/>
      <c r="G97" s="240" t="s">
        <v>4</v>
      </c>
      <c r="H97" s="241" t="s">
        <v>10</v>
      </c>
      <c r="I97" s="242">
        <v>47</v>
      </c>
      <c r="J97" s="242">
        <v>56</v>
      </c>
      <c r="K97" s="130"/>
      <c r="L97" s="131"/>
      <c r="M97" s="131"/>
      <c r="N97" s="168"/>
      <c r="O97" s="130"/>
      <c r="P97" s="131"/>
      <c r="Q97" s="131"/>
      <c r="R97" s="132"/>
      <c r="S97" s="130"/>
      <c r="T97" s="131"/>
      <c r="U97" s="131"/>
      <c r="V97" s="168"/>
      <c r="W97" s="130"/>
      <c r="X97" s="131"/>
      <c r="Y97" s="131"/>
      <c r="Z97" s="168"/>
      <c r="AA97" s="130"/>
      <c r="AB97" s="131"/>
      <c r="AC97" s="131"/>
      <c r="AD97" s="175">
        <f t="shared" ref="AD97:AD103" si="34">IF(ISNUMBER(FIND(AA$13,$G97)),$I97,IF(ISNUMBER(FIND(AA$13,$H97)),$J97,""))</f>
        <v>47</v>
      </c>
      <c r="AE97" s="130"/>
      <c r="AF97" s="131"/>
      <c r="AG97" s="131"/>
      <c r="AH97" s="168"/>
      <c r="AI97" s="130"/>
      <c r="AJ97" s="131"/>
      <c r="AK97" s="131"/>
      <c r="AL97" s="168"/>
      <c r="AM97" s="130"/>
      <c r="AN97" s="131"/>
      <c r="AO97" s="131"/>
      <c r="AP97" s="168"/>
      <c r="AQ97" s="130"/>
      <c r="AR97" s="131"/>
      <c r="AS97" s="131"/>
      <c r="AT97" s="168"/>
      <c r="AU97" s="130"/>
      <c r="AV97" s="131"/>
      <c r="AW97" s="131"/>
      <c r="AX97" s="168"/>
      <c r="AY97" s="130"/>
      <c r="AZ97" s="131"/>
      <c r="BA97" s="131"/>
      <c r="BB97" s="175">
        <f t="shared" ref="BB97:BB100" si="35">IF(ISNUMBER(FIND(AY$13,$G97)),$I97,IF(ISNUMBER(FIND(AY$13,$H97)),$J97,""))</f>
        <v>56</v>
      </c>
      <c r="BC97" s="130"/>
      <c r="BD97" s="131"/>
      <c r="BE97" s="131"/>
      <c r="BF97" s="168"/>
      <c r="BH97">
        <v>4</v>
      </c>
      <c r="BI97" t="s">
        <v>30</v>
      </c>
      <c r="BL97" t="s">
        <v>41</v>
      </c>
      <c r="BN97" t="s">
        <v>51</v>
      </c>
      <c r="BP97" t="s">
        <v>59</v>
      </c>
      <c r="BR97" t="s">
        <v>66</v>
      </c>
    </row>
    <row r="98" spans="2:70" x14ac:dyDescent="0.3">
      <c r="B98" s="754"/>
      <c r="C98" s="564"/>
      <c r="D98" s="579"/>
      <c r="E98" s="582" t="s">
        <v>19</v>
      </c>
      <c r="F98" s="583"/>
      <c r="G98" s="240" t="s">
        <v>2</v>
      </c>
      <c r="H98" s="241" t="s">
        <v>11</v>
      </c>
      <c r="I98" s="242">
        <v>59</v>
      </c>
      <c r="J98" s="242">
        <v>66</v>
      </c>
      <c r="K98" s="130"/>
      <c r="L98" s="131"/>
      <c r="M98" s="131"/>
      <c r="N98" s="168"/>
      <c r="O98" s="130"/>
      <c r="P98" s="131"/>
      <c r="Q98" s="131"/>
      <c r="R98" s="132"/>
      <c r="S98" s="130"/>
      <c r="T98" s="131"/>
      <c r="U98" s="131"/>
      <c r="V98" s="175">
        <f t="shared" ref="V98:V102" si="36">IF(ISNUMBER(FIND(S$13,$G98)),$I98,IF(ISNUMBER(FIND(S$13,$H98)),$J98,""))</f>
        <v>59</v>
      </c>
      <c r="W98" s="130"/>
      <c r="X98" s="131"/>
      <c r="Y98" s="131"/>
      <c r="Z98" s="168"/>
      <c r="AA98" s="130"/>
      <c r="AB98" s="131"/>
      <c r="AC98" s="131"/>
      <c r="AD98" s="168"/>
      <c r="AE98" s="130"/>
      <c r="AF98" s="131"/>
      <c r="AG98" s="131"/>
      <c r="AH98" s="168"/>
      <c r="AI98" s="130"/>
      <c r="AJ98" s="131"/>
      <c r="AK98" s="131"/>
      <c r="AL98" s="168"/>
      <c r="AM98" s="130"/>
      <c r="AN98" s="131"/>
      <c r="AO98" s="131"/>
      <c r="AP98" s="168"/>
      <c r="AQ98" s="130"/>
      <c r="AR98" s="131"/>
      <c r="AS98" s="131"/>
      <c r="AT98" s="168"/>
      <c r="AU98" s="130"/>
      <c r="AV98" s="131"/>
      <c r="AW98" s="131"/>
      <c r="AX98" s="168"/>
      <c r="AY98" s="130"/>
      <c r="AZ98" s="131"/>
      <c r="BA98" s="131"/>
      <c r="BB98" s="168"/>
      <c r="BC98" s="130"/>
      <c r="BD98" s="131"/>
      <c r="BE98" s="131"/>
      <c r="BF98" s="175">
        <f t="shared" ref="BF98" si="37">IF(ISNUMBER(FIND(BC$13,$G98)),$I98,IF(ISNUMBER(FIND(BC$13,$H98)),$J98,""))</f>
        <v>66</v>
      </c>
      <c r="BH98">
        <f>BH96*BH97</f>
        <v>36</v>
      </c>
      <c r="BI98" t="s">
        <v>32</v>
      </c>
      <c r="BL98" t="s">
        <v>42</v>
      </c>
      <c r="BN98" t="s">
        <v>55</v>
      </c>
      <c r="BP98" t="s">
        <v>60</v>
      </c>
      <c r="BR98" t="s">
        <v>67</v>
      </c>
    </row>
    <row r="99" spans="2:70" x14ac:dyDescent="0.3">
      <c r="B99" s="754"/>
      <c r="C99" s="564"/>
      <c r="D99" s="579"/>
      <c r="E99" s="582" t="s">
        <v>20</v>
      </c>
      <c r="F99" s="583"/>
      <c r="G99" s="240" t="s">
        <v>6</v>
      </c>
      <c r="H99" s="241" t="s">
        <v>8</v>
      </c>
      <c r="I99" s="242">
        <v>45</v>
      </c>
      <c r="J99" s="242">
        <v>54</v>
      </c>
      <c r="K99" s="130"/>
      <c r="L99" s="131"/>
      <c r="M99" s="131"/>
      <c r="N99" s="168"/>
      <c r="O99" s="130"/>
      <c r="P99" s="131"/>
      <c r="Q99" s="131"/>
      <c r="R99" s="132"/>
      <c r="S99" s="130"/>
      <c r="T99" s="131"/>
      <c r="U99" s="131"/>
      <c r="V99" s="168"/>
      <c r="W99" s="130"/>
      <c r="X99" s="131"/>
      <c r="Y99" s="131"/>
      <c r="Z99" s="168"/>
      <c r="AA99" s="130"/>
      <c r="AB99" s="131"/>
      <c r="AC99" s="131"/>
      <c r="AD99" s="168"/>
      <c r="AE99" s="130"/>
      <c r="AF99" s="131"/>
      <c r="AG99" s="131"/>
      <c r="AH99" s="168"/>
      <c r="AI99" s="130"/>
      <c r="AJ99" s="131"/>
      <c r="AK99" s="131"/>
      <c r="AL99" s="175">
        <f t="shared" ref="AL99" si="38">IF(ISNUMBER(FIND(AI$13,$G99)),$I99,IF(ISNUMBER(FIND(AI$13,$H99)),$J99,""))</f>
        <v>45</v>
      </c>
      <c r="AM99" s="130"/>
      <c r="AN99" s="131"/>
      <c r="AO99" s="131"/>
      <c r="AP99" s="168"/>
      <c r="AQ99" s="130"/>
      <c r="AR99" s="131"/>
      <c r="AS99" s="131"/>
      <c r="AT99" s="175">
        <f t="shared" ref="AT99" si="39">IF(ISNUMBER(FIND(AQ$13,$G99)),$I99,IF(ISNUMBER(FIND(AQ$13,$H99)),$J99,""))</f>
        <v>54</v>
      </c>
      <c r="AU99" s="130"/>
      <c r="AV99" s="131"/>
      <c r="AW99" s="131"/>
      <c r="AX99" s="168"/>
      <c r="AY99" s="130"/>
      <c r="AZ99" s="131"/>
      <c r="BA99" s="131"/>
      <c r="BB99" s="168"/>
      <c r="BC99" s="130"/>
      <c r="BD99" s="131"/>
      <c r="BE99" s="131"/>
      <c r="BF99" s="168"/>
    </row>
    <row r="100" spans="2:70" x14ac:dyDescent="0.3">
      <c r="B100" s="754"/>
      <c r="C100" s="564"/>
      <c r="D100" s="579"/>
      <c r="E100" s="582" t="s">
        <v>21</v>
      </c>
      <c r="F100" s="583"/>
      <c r="G100" s="240" t="s">
        <v>0</v>
      </c>
      <c r="H100" s="241" t="s">
        <v>10</v>
      </c>
      <c r="I100" s="242">
        <v>52</v>
      </c>
      <c r="J100" s="242">
        <v>55</v>
      </c>
      <c r="K100" s="130"/>
      <c r="L100" s="131"/>
      <c r="M100" s="131"/>
      <c r="N100" s="175">
        <f t="shared" ref="N100" si="40">IF(ISNUMBER(FIND(K$13,$G100)),$I100,IF(ISNUMBER(FIND(K$13,$H100)),$J100,""))</f>
        <v>52</v>
      </c>
      <c r="O100" s="130"/>
      <c r="P100" s="131"/>
      <c r="Q100" s="131"/>
      <c r="R100" s="132"/>
      <c r="S100" s="130"/>
      <c r="T100" s="131"/>
      <c r="U100" s="131"/>
      <c r="V100" s="168"/>
      <c r="W100" s="130"/>
      <c r="X100" s="131"/>
      <c r="Y100" s="131"/>
      <c r="Z100" s="168"/>
      <c r="AA100" s="130"/>
      <c r="AB100" s="131"/>
      <c r="AC100" s="131"/>
      <c r="AD100" s="168"/>
      <c r="AE100" s="130"/>
      <c r="AF100" s="131"/>
      <c r="AG100" s="131"/>
      <c r="AH100" s="168"/>
      <c r="AI100" s="130"/>
      <c r="AJ100" s="131"/>
      <c r="AK100" s="131"/>
      <c r="AL100" s="168"/>
      <c r="AM100" s="130"/>
      <c r="AN100" s="131"/>
      <c r="AO100" s="131"/>
      <c r="AP100" s="168"/>
      <c r="AQ100" s="130"/>
      <c r="AR100" s="131"/>
      <c r="AS100" s="131"/>
      <c r="AT100" s="168"/>
      <c r="AU100" s="130"/>
      <c r="AV100" s="131"/>
      <c r="AW100" s="131"/>
      <c r="AX100" s="168"/>
      <c r="AY100" s="130"/>
      <c r="AZ100" s="131"/>
      <c r="BA100" s="131"/>
      <c r="BB100" s="175">
        <f t="shared" si="35"/>
        <v>55</v>
      </c>
      <c r="BC100" s="130"/>
      <c r="BD100" s="131"/>
      <c r="BE100" s="131"/>
      <c r="BF100" s="168"/>
    </row>
    <row r="101" spans="2:70" x14ac:dyDescent="0.3">
      <c r="B101" s="754"/>
      <c r="C101" s="564"/>
      <c r="D101" s="579"/>
      <c r="E101" s="582" t="s">
        <v>22</v>
      </c>
      <c r="F101" s="583"/>
      <c r="G101" s="240" t="s">
        <v>1</v>
      </c>
      <c r="H101" s="241" t="s">
        <v>7</v>
      </c>
      <c r="I101" s="242">
        <v>27</v>
      </c>
      <c r="J101" s="242">
        <v>45</v>
      </c>
      <c r="K101" s="130"/>
      <c r="L101" s="131"/>
      <c r="M101" s="131"/>
      <c r="N101" s="168"/>
      <c r="O101" s="130"/>
      <c r="P101" s="131"/>
      <c r="Q101" s="131"/>
      <c r="R101" s="175">
        <f t="shared" ref="R101" si="41">IF(ISNUMBER(FIND(O$13,$G101)),$I101,IF(ISNUMBER(FIND(O$13,$H101)),$J101,""))</f>
        <v>27</v>
      </c>
      <c r="S101" s="130"/>
      <c r="T101" s="131"/>
      <c r="U101" s="131"/>
      <c r="V101" s="168"/>
      <c r="W101" s="130"/>
      <c r="X101" s="131"/>
      <c r="Y101" s="131"/>
      <c r="Z101" s="168"/>
      <c r="AA101" s="130"/>
      <c r="AB101" s="131"/>
      <c r="AC101" s="131"/>
      <c r="AD101" s="168"/>
      <c r="AE101" s="130"/>
      <c r="AF101" s="131"/>
      <c r="AG101" s="131"/>
      <c r="AH101" s="168"/>
      <c r="AI101" s="130"/>
      <c r="AJ101" s="131"/>
      <c r="AK101" s="131"/>
      <c r="AL101" s="168"/>
      <c r="AM101" s="130"/>
      <c r="AN101" s="131"/>
      <c r="AO101" s="131"/>
      <c r="AP101" s="175">
        <f t="shared" ref="AP101:AP103" si="42">IF(ISNUMBER(FIND(AM$13,$G101)),$I101,IF(ISNUMBER(FIND(AM$13,$H101)),$J101,""))</f>
        <v>45</v>
      </c>
      <c r="AQ101" s="130"/>
      <c r="AR101" s="131"/>
      <c r="AS101" s="131"/>
      <c r="AT101" s="168"/>
      <c r="AU101" s="130"/>
      <c r="AV101" s="131"/>
      <c r="AW101" s="131"/>
      <c r="AX101" s="168"/>
      <c r="AY101" s="130"/>
      <c r="AZ101" s="131"/>
      <c r="BA101" s="131"/>
      <c r="BB101" s="168"/>
      <c r="BC101" s="130"/>
      <c r="BD101" s="131"/>
      <c r="BE101" s="131"/>
      <c r="BF101" s="168"/>
    </row>
    <row r="102" spans="2:70" x14ac:dyDescent="0.3">
      <c r="B102" s="754"/>
      <c r="C102" s="564"/>
      <c r="D102" s="579"/>
      <c r="E102" s="582" t="s">
        <v>23</v>
      </c>
      <c r="F102" s="583"/>
      <c r="G102" s="240" t="s">
        <v>2</v>
      </c>
      <c r="H102" s="241" t="s">
        <v>9</v>
      </c>
      <c r="I102" s="242">
        <v>35</v>
      </c>
      <c r="J102" s="242">
        <v>20</v>
      </c>
      <c r="K102" s="130"/>
      <c r="L102" s="131"/>
      <c r="M102" s="131"/>
      <c r="N102" s="168"/>
      <c r="O102" s="130"/>
      <c r="P102" s="131"/>
      <c r="Q102" s="131"/>
      <c r="R102" s="132"/>
      <c r="S102" s="130"/>
      <c r="T102" s="131"/>
      <c r="U102" s="131"/>
      <c r="V102" s="175">
        <f t="shared" si="36"/>
        <v>35</v>
      </c>
      <c r="W102" s="130"/>
      <c r="X102" s="131"/>
      <c r="Y102" s="131"/>
      <c r="Z102" s="168"/>
      <c r="AA102" s="130"/>
      <c r="AB102" s="131"/>
      <c r="AC102" s="131"/>
      <c r="AD102" s="168"/>
      <c r="AE102" s="130"/>
      <c r="AF102" s="131"/>
      <c r="AG102" s="131"/>
      <c r="AH102" s="168"/>
      <c r="AI102" s="130"/>
      <c r="AJ102" s="131"/>
      <c r="AK102" s="131"/>
      <c r="AL102" s="168"/>
      <c r="AM102" s="130"/>
      <c r="AN102" s="131"/>
      <c r="AO102" s="131"/>
      <c r="AP102" s="168"/>
      <c r="AQ102" s="130"/>
      <c r="AR102" s="131"/>
      <c r="AS102" s="131"/>
      <c r="AT102" s="168"/>
      <c r="AU102" s="130"/>
      <c r="AV102" s="131"/>
      <c r="AW102" s="131"/>
      <c r="AX102" s="175">
        <f t="shared" ref="AX102" si="43">IF(ISNUMBER(FIND(AU$13,$G102)),$I102,IF(ISNUMBER(FIND(AU$13,$H102)),$J102,""))</f>
        <v>20</v>
      </c>
      <c r="AY102" s="130"/>
      <c r="AZ102" s="131"/>
      <c r="BA102" s="131"/>
      <c r="BB102" s="168"/>
      <c r="BC102" s="130"/>
      <c r="BD102" s="131"/>
      <c r="BE102" s="131"/>
      <c r="BF102" s="168"/>
    </row>
    <row r="103" spans="2:70" ht="14.5" thickBot="1" x14ac:dyDescent="0.35">
      <c r="B103" s="754"/>
      <c r="C103" s="564"/>
      <c r="D103" s="579"/>
      <c r="E103" s="582" t="s">
        <v>24</v>
      </c>
      <c r="F103" s="583"/>
      <c r="G103" s="243" t="s">
        <v>4</v>
      </c>
      <c r="H103" s="244" t="s">
        <v>7</v>
      </c>
      <c r="I103" s="245">
        <v>55</v>
      </c>
      <c r="J103" s="245">
        <v>29</v>
      </c>
      <c r="K103" s="136"/>
      <c r="L103" s="137"/>
      <c r="M103" s="137"/>
      <c r="N103" s="157"/>
      <c r="O103" s="136"/>
      <c r="P103" s="137"/>
      <c r="Q103" s="137"/>
      <c r="R103" s="138"/>
      <c r="S103" s="136"/>
      <c r="T103" s="137"/>
      <c r="U103" s="137"/>
      <c r="V103" s="157"/>
      <c r="W103" s="136"/>
      <c r="X103" s="137"/>
      <c r="Y103" s="137"/>
      <c r="Z103" s="157"/>
      <c r="AA103" s="136"/>
      <c r="AB103" s="137"/>
      <c r="AC103" s="137"/>
      <c r="AD103" s="175">
        <f t="shared" si="34"/>
        <v>55</v>
      </c>
      <c r="AE103" s="136"/>
      <c r="AF103" s="137"/>
      <c r="AG103" s="137"/>
      <c r="AH103" s="157"/>
      <c r="AI103" s="136"/>
      <c r="AJ103" s="137"/>
      <c r="AK103" s="137"/>
      <c r="AL103" s="157"/>
      <c r="AM103" s="136"/>
      <c r="AN103" s="137"/>
      <c r="AO103" s="137"/>
      <c r="AP103" s="175">
        <f t="shared" si="42"/>
        <v>29</v>
      </c>
      <c r="AQ103" s="136"/>
      <c r="AR103" s="137"/>
      <c r="AS103" s="137"/>
      <c r="AT103" s="157"/>
      <c r="AU103" s="136"/>
      <c r="AV103" s="137"/>
      <c r="AW103" s="137"/>
      <c r="AX103" s="157"/>
      <c r="AY103" s="136"/>
      <c r="AZ103" s="137"/>
      <c r="BA103" s="137"/>
      <c r="BB103" s="157"/>
      <c r="BC103" s="136"/>
      <c r="BD103" s="137"/>
      <c r="BE103" s="137"/>
      <c r="BF103" s="157"/>
    </row>
    <row r="104" spans="2:70" x14ac:dyDescent="0.3">
      <c r="B104" s="754"/>
      <c r="C104" s="564"/>
      <c r="D104" s="578" t="s">
        <v>298</v>
      </c>
      <c r="E104" s="580" t="s">
        <v>17</v>
      </c>
      <c r="F104" s="581"/>
      <c r="G104" s="237" t="s">
        <v>1</v>
      </c>
      <c r="H104" s="238" t="s">
        <v>11</v>
      </c>
      <c r="I104" s="201">
        <f>I96/MAX($I96:$J96)*14</f>
        <v>4.2325581395348832</v>
      </c>
      <c r="J104" s="202">
        <f t="shared" ref="J104:J111" si="44">J96/MAX($I96:$J96)*14</f>
        <v>14</v>
      </c>
      <c r="K104" s="142"/>
      <c r="L104" s="143"/>
      <c r="M104" s="143"/>
      <c r="N104" s="146"/>
      <c r="O104" s="142"/>
      <c r="P104" s="143"/>
      <c r="Q104" s="143"/>
      <c r="R104" s="175">
        <f>R96/MAX($K96:$BE96)*14</f>
        <v>14</v>
      </c>
      <c r="S104" s="142"/>
      <c r="T104" s="143"/>
      <c r="U104" s="131"/>
      <c r="V104" s="144"/>
      <c r="W104" s="142"/>
      <c r="X104" s="143"/>
      <c r="Y104" s="131"/>
      <c r="Z104" s="144"/>
      <c r="AA104" s="142"/>
      <c r="AB104" s="143"/>
      <c r="AC104" s="131"/>
      <c r="AD104" s="144"/>
      <c r="AE104" s="142"/>
      <c r="AF104" s="143"/>
      <c r="AG104" s="131"/>
      <c r="AH104" s="168"/>
      <c r="AI104" s="142"/>
      <c r="AJ104" s="143"/>
      <c r="AK104" s="131"/>
      <c r="AL104" s="144"/>
      <c r="AM104" s="142"/>
      <c r="AN104" s="143"/>
      <c r="AO104" s="131"/>
      <c r="AP104" s="144"/>
      <c r="AQ104" s="142"/>
      <c r="AR104" s="143"/>
      <c r="AS104" s="131"/>
      <c r="AT104" s="144"/>
      <c r="AU104" s="142"/>
      <c r="AV104" s="143"/>
      <c r="AW104" s="131"/>
      <c r="AX104" s="144"/>
      <c r="AY104" s="142"/>
      <c r="AZ104" s="143"/>
      <c r="BA104" s="131"/>
      <c r="BB104" s="144"/>
      <c r="BC104" s="142"/>
      <c r="BD104" s="143"/>
      <c r="BE104" s="143"/>
      <c r="BF104" s="175">
        <f>BF96/MAX($K96:$BF96)*14</f>
        <v>14</v>
      </c>
    </row>
    <row r="105" spans="2:70" x14ac:dyDescent="0.3">
      <c r="B105" s="754"/>
      <c r="C105" s="564"/>
      <c r="D105" s="579"/>
      <c r="E105" s="582" t="s">
        <v>18</v>
      </c>
      <c r="F105" s="583"/>
      <c r="G105" s="240" t="s">
        <v>4</v>
      </c>
      <c r="H105" s="241" t="s">
        <v>10</v>
      </c>
      <c r="I105" s="203">
        <f t="shared" ref="I105" si="45">I97/MAX($I97:$J97)*14</f>
        <v>11.75</v>
      </c>
      <c r="J105" s="204">
        <f t="shared" si="44"/>
        <v>14</v>
      </c>
      <c r="K105" s="130"/>
      <c r="L105" s="131"/>
      <c r="M105" s="131"/>
      <c r="N105" s="168"/>
      <c r="O105" s="130"/>
      <c r="P105" s="131"/>
      <c r="Q105" s="131"/>
      <c r="R105" s="132"/>
      <c r="S105" s="130"/>
      <c r="T105" s="131"/>
      <c r="U105" s="131"/>
      <c r="V105" s="168"/>
      <c r="W105" s="130"/>
      <c r="X105" s="131"/>
      <c r="Y105" s="131"/>
      <c r="Z105" s="168"/>
      <c r="AA105" s="130"/>
      <c r="AB105" s="131"/>
      <c r="AC105" s="131"/>
      <c r="AD105" s="175">
        <f>AD97/MAX($K97:$BE97)*14</f>
        <v>11.75</v>
      </c>
      <c r="AE105" s="130"/>
      <c r="AF105" s="131"/>
      <c r="AG105" s="131"/>
      <c r="AH105" s="168"/>
      <c r="AI105" s="130"/>
      <c r="AJ105" s="131"/>
      <c r="AK105" s="131"/>
      <c r="AL105" s="168"/>
      <c r="AM105" s="130"/>
      <c r="AN105" s="131"/>
      <c r="AO105" s="131"/>
      <c r="AP105" s="168"/>
      <c r="AQ105" s="130"/>
      <c r="AR105" s="131"/>
      <c r="AS105" s="131"/>
      <c r="AT105" s="168"/>
      <c r="AU105" s="130"/>
      <c r="AV105" s="131"/>
      <c r="AW105" s="131"/>
      <c r="AX105" s="168"/>
      <c r="AY105" s="130"/>
      <c r="AZ105" s="131"/>
      <c r="BA105" s="131"/>
      <c r="BB105" s="175">
        <f>BB97/MAX($K97:$BE97)*14</f>
        <v>14</v>
      </c>
      <c r="BC105" s="130"/>
      <c r="BD105" s="131"/>
      <c r="BE105" s="131"/>
      <c r="BF105" s="168"/>
    </row>
    <row r="106" spans="2:70" x14ac:dyDescent="0.3">
      <c r="B106" s="754"/>
      <c r="C106" s="564"/>
      <c r="D106" s="579"/>
      <c r="E106" s="582" t="s">
        <v>19</v>
      </c>
      <c r="F106" s="583"/>
      <c r="G106" s="240" t="s">
        <v>2</v>
      </c>
      <c r="H106" s="241" t="s">
        <v>11</v>
      </c>
      <c r="I106" s="203">
        <f t="shared" ref="I106" si="46">I98/MAX($I98:$J98)*14</f>
        <v>12.515151515151516</v>
      </c>
      <c r="J106" s="204">
        <f t="shared" si="44"/>
        <v>14</v>
      </c>
      <c r="K106" s="130"/>
      <c r="L106" s="131"/>
      <c r="M106" s="131"/>
      <c r="N106" s="168"/>
      <c r="O106" s="130"/>
      <c r="P106" s="131"/>
      <c r="Q106" s="131"/>
      <c r="R106" s="132"/>
      <c r="S106" s="130"/>
      <c r="T106" s="131"/>
      <c r="U106" s="131"/>
      <c r="V106" s="175">
        <f>V98/MAX($K98:$BE98)*14</f>
        <v>14</v>
      </c>
      <c r="W106" s="130"/>
      <c r="X106" s="131"/>
      <c r="Y106" s="131"/>
      <c r="Z106" s="168"/>
      <c r="AA106" s="130"/>
      <c r="AB106" s="131"/>
      <c r="AC106" s="131"/>
      <c r="AD106" s="168"/>
      <c r="AE106" s="130"/>
      <c r="AF106" s="131"/>
      <c r="AG106" s="131"/>
      <c r="AH106" s="168"/>
      <c r="AI106" s="130"/>
      <c r="AJ106" s="131"/>
      <c r="AK106" s="131"/>
      <c r="AL106" s="168"/>
      <c r="AM106" s="130"/>
      <c r="AN106" s="131"/>
      <c r="AO106" s="131"/>
      <c r="AP106" s="168"/>
      <c r="AQ106" s="130"/>
      <c r="AR106" s="131"/>
      <c r="AS106" s="131"/>
      <c r="AT106" s="168"/>
      <c r="AU106" s="130"/>
      <c r="AV106" s="131"/>
      <c r="AW106" s="131"/>
      <c r="AX106" s="168"/>
      <c r="AY106" s="130"/>
      <c r="AZ106" s="131"/>
      <c r="BA106" s="131"/>
      <c r="BB106" s="168"/>
      <c r="BC106" s="130"/>
      <c r="BD106" s="131"/>
      <c r="BE106" s="131"/>
      <c r="BF106" s="175">
        <f>BF98/MAX($K98:$BF98)*14</f>
        <v>14</v>
      </c>
    </row>
    <row r="107" spans="2:70" x14ac:dyDescent="0.3">
      <c r="B107" s="754"/>
      <c r="C107" s="564"/>
      <c r="D107" s="579"/>
      <c r="E107" s="582" t="s">
        <v>20</v>
      </c>
      <c r="F107" s="583"/>
      <c r="G107" s="240" t="s">
        <v>6</v>
      </c>
      <c r="H107" s="241" t="s">
        <v>8</v>
      </c>
      <c r="I107" s="203">
        <f t="shared" ref="I107" si="47">I99/MAX($I99:$J99)*14</f>
        <v>11.666666666666668</v>
      </c>
      <c r="J107" s="204">
        <f t="shared" si="44"/>
        <v>14</v>
      </c>
      <c r="K107" s="130"/>
      <c r="L107" s="131"/>
      <c r="M107" s="131"/>
      <c r="N107" s="168"/>
      <c r="O107" s="130"/>
      <c r="P107" s="131"/>
      <c r="Q107" s="131"/>
      <c r="R107" s="132"/>
      <c r="S107" s="130"/>
      <c r="T107" s="131"/>
      <c r="U107" s="131"/>
      <c r="V107" s="168"/>
      <c r="W107" s="130"/>
      <c r="X107" s="131"/>
      <c r="Y107" s="131"/>
      <c r="Z107" s="168"/>
      <c r="AA107" s="130"/>
      <c r="AB107" s="131"/>
      <c r="AC107" s="131"/>
      <c r="AD107" s="168"/>
      <c r="AE107" s="130"/>
      <c r="AF107" s="131"/>
      <c r="AG107" s="131"/>
      <c r="AH107" s="168"/>
      <c r="AI107" s="130"/>
      <c r="AJ107" s="131"/>
      <c r="AK107" s="131"/>
      <c r="AL107" s="175">
        <f>AL99/MAX($K99:$BE99)*14</f>
        <v>11.666666666666668</v>
      </c>
      <c r="AM107" s="130"/>
      <c r="AN107" s="131"/>
      <c r="AO107" s="131"/>
      <c r="AP107" s="168"/>
      <c r="AQ107" s="130"/>
      <c r="AR107" s="131"/>
      <c r="AS107" s="131"/>
      <c r="AT107" s="175">
        <f>AT99/MAX($K99:$BE99)*14</f>
        <v>14</v>
      </c>
      <c r="AU107" s="130"/>
      <c r="AV107" s="131"/>
      <c r="AW107" s="131"/>
      <c r="AX107" s="168"/>
      <c r="AY107" s="130"/>
      <c r="AZ107" s="131"/>
      <c r="BA107" s="131"/>
      <c r="BB107" s="168"/>
      <c r="BC107" s="130"/>
      <c r="BD107" s="131"/>
      <c r="BE107" s="131"/>
      <c r="BF107" s="168"/>
    </row>
    <row r="108" spans="2:70" x14ac:dyDescent="0.3">
      <c r="B108" s="754"/>
      <c r="C108" s="564"/>
      <c r="D108" s="579"/>
      <c r="E108" s="582" t="s">
        <v>21</v>
      </c>
      <c r="F108" s="583"/>
      <c r="G108" s="240" t="s">
        <v>0</v>
      </c>
      <c r="H108" s="241" t="s">
        <v>10</v>
      </c>
      <c r="I108" s="203">
        <f t="shared" ref="I108" si="48">I100/MAX($I100:$J100)*14</f>
        <v>13.236363636363636</v>
      </c>
      <c r="J108" s="204">
        <f t="shared" si="44"/>
        <v>14</v>
      </c>
      <c r="K108" s="130"/>
      <c r="L108" s="131"/>
      <c r="M108" s="131"/>
      <c r="N108" s="175">
        <f>N100/MAX($K100:$BE100)*14</f>
        <v>13.236363636363636</v>
      </c>
      <c r="O108" s="130"/>
      <c r="P108" s="131"/>
      <c r="Q108" s="131"/>
      <c r="R108" s="132"/>
      <c r="S108" s="130"/>
      <c r="T108" s="131"/>
      <c r="U108" s="131"/>
      <c r="V108" s="168"/>
      <c r="W108" s="130"/>
      <c r="X108" s="131"/>
      <c r="Y108" s="131"/>
      <c r="Z108" s="168"/>
      <c r="AA108" s="130"/>
      <c r="AB108" s="131"/>
      <c r="AC108" s="131"/>
      <c r="AD108" s="168"/>
      <c r="AE108" s="130"/>
      <c r="AF108" s="131"/>
      <c r="AG108" s="131"/>
      <c r="AH108" s="168"/>
      <c r="AI108" s="130"/>
      <c r="AJ108" s="131"/>
      <c r="AK108" s="131"/>
      <c r="AL108" s="168"/>
      <c r="AM108" s="130"/>
      <c r="AN108" s="131"/>
      <c r="AO108" s="131"/>
      <c r="AP108" s="168"/>
      <c r="AQ108" s="130"/>
      <c r="AR108" s="131"/>
      <c r="AS108" s="131"/>
      <c r="AT108" s="168"/>
      <c r="AU108" s="130"/>
      <c r="AV108" s="131"/>
      <c r="AW108" s="131"/>
      <c r="AX108" s="168"/>
      <c r="AY108" s="130"/>
      <c r="AZ108" s="131"/>
      <c r="BA108" s="131"/>
      <c r="BB108" s="175">
        <f>BB100/MAX($K100:$BE100)*14</f>
        <v>14</v>
      </c>
      <c r="BC108" s="130"/>
      <c r="BD108" s="131"/>
      <c r="BE108" s="131"/>
      <c r="BF108" s="168"/>
    </row>
    <row r="109" spans="2:70" x14ac:dyDescent="0.3">
      <c r="B109" s="754"/>
      <c r="C109" s="564"/>
      <c r="D109" s="579"/>
      <c r="E109" s="582" t="s">
        <v>22</v>
      </c>
      <c r="F109" s="583"/>
      <c r="G109" s="240" t="s">
        <v>1</v>
      </c>
      <c r="H109" s="241" t="s">
        <v>7</v>
      </c>
      <c r="I109" s="203">
        <f t="shared" ref="I109" si="49">I101/MAX($I101:$J101)*14</f>
        <v>8.4</v>
      </c>
      <c r="J109" s="204">
        <f t="shared" si="44"/>
        <v>14</v>
      </c>
      <c r="K109" s="130"/>
      <c r="L109" s="131"/>
      <c r="M109" s="131"/>
      <c r="N109" s="168"/>
      <c r="O109" s="130"/>
      <c r="P109" s="131"/>
      <c r="Q109" s="131"/>
      <c r="R109" s="198">
        <f>R101/MAX($K101:$BE101)*14</f>
        <v>8.4</v>
      </c>
      <c r="S109" s="130"/>
      <c r="T109" s="131"/>
      <c r="U109" s="131"/>
      <c r="V109" s="168"/>
      <c r="W109" s="130"/>
      <c r="X109" s="131"/>
      <c r="Y109" s="131"/>
      <c r="Z109" s="168"/>
      <c r="AA109" s="130"/>
      <c r="AB109" s="131"/>
      <c r="AC109" s="131"/>
      <c r="AD109" s="168"/>
      <c r="AE109" s="130"/>
      <c r="AF109" s="131"/>
      <c r="AG109" s="131"/>
      <c r="AH109" s="168"/>
      <c r="AI109" s="130"/>
      <c r="AJ109" s="131"/>
      <c r="AK109" s="131"/>
      <c r="AL109" s="168"/>
      <c r="AM109" s="130"/>
      <c r="AN109" s="131"/>
      <c r="AO109" s="131"/>
      <c r="AP109" s="175">
        <f>AP101/MAX($K101:$BE101)*14</f>
        <v>14</v>
      </c>
      <c r="AQ109" s="130"/>
      <c r="AR109" s="131"/>
      <c r="AS109" s="131"/>
      <c r="AT109" s="168"/>
      <c r="AU109" s="130"/>
      <c r="AV109" s="131"/>
      <c r="AW109" s="131"/>
      <c r="AX109" s="168"/>
      <c r="AY109" s="130"/>
      <c r="AZ109" s="131"/>
      <c r="BA109" s="131"/>
      <c r="BB109" s="168"/>
      <c r="BC109" s="130"/>
      <c r="BD109" s="131"/>
      <c r="BE109" s="131"/>
      <c r="BF109" s="168"/>
    </row>
    <row r="110" spans="2:70" x14ac:dyDescent="0.3">
      <c r="B110" s="754"/>
      <c r="C110" s="564"/>
      <c r="D110" s="579"/>
      <c r="E110" s="582" t="s">
        <v>23</v>
      </c>
      <c r="F110" s="583"/>
      <c r="G110" s="240" t="s">
        <v>2</v>
      </c>
      <c r="H110" s="241" t="s">
        <v>9</v>
      </c>
      <c r="I110" s="203">
        <f t="shared" ref="I110" si="50">I102/MAX($I102:$J102)*14</f>
        <v>14</v>
      </c>
      <c r="J110" s="204">
        <f t="shared" si="44"/>
        <v>8</v>
      </c>
      <c r="K110" s="130"/>
      <c r="L110" s="131"/>
      <c r="M110" s="131"/>
      <c r="N110" s="168"/>
      <c r="O110" s="130"/>
      <c r="P110" s="131"/>
      <c r="Q110" s="131"/>
      <c r="R110" s="132"/>
      <c r="S110" s="130"/>
      <c r="T110" s="131"/>
      <c r="U110" s="131"/>
      <c r="V110" s="175">
        <f>V102/MAX($K102:$BE102)*14</f>
        <v>14</v>
      </c>
      <c r="W110" s="130"/>
      <c r="X110" s="131"/>
      <c r="Y110" s="131"/>
      <c r="Z110" s="168"/>
      <c r="AA110" s="130"/>
      <c r="AB110" s="131"/>
      <c r="AC110" s="131"/>
      <c r="AD110" s="168"/>
      <c r="AE110" s="130"/>
      <c r="AF110" s="131"/>
      <c r="AG110" s="131"/>
      <c r="AH110" s="168"/>
      <c r="AI110" s="130"/>
      <c r="AJ110" s="131"/>
      <c r="AK110" s="131"/>
      <c r="AL110" s="168"/>
      <c r="AM110" s="130"/>
      <c r="AN110" s="131"/>
      <c r="AO110" s="131"/>
      <c r="AP110" s="168"/>
      <c r="AQ110" s="130"/>
      <c r="AR110" s="131"/>
      <c r="AS110" s="131"/>
      <c r="AT110" s="168"/>
      <c r="AU110" s="130"/>
      <c r="AV110" s="131"/>
      <c r="AW110" s="131"/>
      <c r="AX110" s="175">
        <f>AX102/MAX($K102:$BE102)*14</f>
        <v>8</v>
      </c>
      <c r="AY110" s="130"/>
      <c r="AZ110" s="131"/>
      <c r="BA110" s="131"/>
      <c r="BB110" s="168"/>
      <c r="BC110" s="130"/>
      <c r="BD110" s="131"/>
      <c r="BE110" s="131"/>
      <c r="BF110" s="168"/>
    </row>
    <row r="111" spans="2:70" ht="14.5" thickBot="1" x14ac:dyDescent="0.35">
      <c r="B111" s="754"/>
      <c r="C111" s="565"/>
      <c r="D111" s="579"/>
      <c r="E111" s="582" t="s">
        <v>24</v>
      </c>
      <c r="F111" s="583"/>
      <c r="G111" s="243" t="s">
        <v>4</v>
      </c>
      <c r="H111" s="244" t="s">
        <v>7</v>
      </c>
      <c r="I111" s="267">
        <f t="shared" ref="I111" si="51">I103/MAX($I103:$J103)*14</f>
        <v>14</v>
      </c>
      <c r="J111" s="268">
        <f t="shared" si="44"/>
        <v>7.3818181818181809</v>
      </c>
      <c r="K111" s="136"/>
      <c r="L111" s="137"/>
      <c r="M111" s="137"/>
      <c r="N111" s="157"/>
      <c r="O111" s="136"/>
      <c r="P111" s="137"/>
      <c r="Q111" s="137"/>
      <c r="R111" s="138"/>
      <c r="S111" s="136"/>
      <c r="T111" s="137"/>
      <c r="U111" s="137"/>
      <c r="V111" s="157"/>
      <c r="W111" s="136"/>
      <c r="X111" s="137"/>
      <c r="Y111" s="137"/>
      <c r="Z111" s="157"/>
      <c r="AA111" s="136"/>
      <c r="AB111" s="137"/>
      <c r="AC111" s="137"/>
      <c r="AD111" s="175">
        <f>AD103/MAX($K103:$BE103)*14</f>
        <v>14</v>
      </c>
      <c r="AE111" s="136"/>
      <c r="AF111" s="137"/>
      <c r="AG111" s="137"/>
      <c r="AH111" s="157"/>
      <c r="AI111" s="136"/>
      <c r="AJ111" s="137"/>
      <c r="AK111" s="137"/>
      <c r="AL111" s="157"/>
      <c r="AM111" s="136"/>
      <c r="AN111" s="137"/>
      <c r="AO111" s="137"/>
      <c r="AP111" s="175">
        <f>AP103/MAX($K103:$BE103)*14</f>
        <v>7.3818181818181809</v>
      </c>
      <c r="AQ111" s="136"/>
      <c r="AR111" s="137"/>
      <c r="AS111" s="137"/>
      <c r="AT111" s="157"/>
      <c r="AU111" s="136"/>
      <c r="AV111" s="137"/>
      <c r="AW111" s="137"/>
      <c r="AX111" s="157"/>
      <c r="AY111" s="136"/>
      <c r="AZ111" s="137"/>
      <c r="BA111" s="137"/>
      <c r="BB111" s="157"/>
      <c r="BC111" s="136"/>
      <c r="BD111" s="137"/>
      <c r="BE111" s="137"/>
      <c r="BF111" s="157"/>
    </row>
    <row r="112" spans="2:70" ht="15" customHeight="1" thickBot="1" x14ac:dyDescent="0.35">
      <c r="B112" s="754"/>
      <c r="C112" s="563" t="s">
        <v>26</v>
      </c>
      <c r="D112" s="756" t="s">
        <v>16</v>
      </c>
      <c r="E112" s="730" t="s">
        <v>17</v>
      </c>
      <c r="F112" s="731"/>
      <c r="G112" s="205" t="s">
        <v>256</v>
      </c>
      <c r="H112" s="206" t="s">
        <v>283</v>
      </c>
      <c r="I112" s="207">
        <v>5</v>
      </c>
      <c r="J112" s="208">
        <v>2</v>
      </c>
      <c r="K112" s="133">
        <f>IF(ISNUMBER(FIND(K$13,$G112)),$I112,IF(ISNUMBER(FIND(K$13,$H112)),$J112,""))</f>
        <v>5</v>
      </c>
      <c r="L112" s="131"/>
      <c r="M112" s="131"/>
      <c r="N112" s="132"/>
      <c r="O112" s="131"/>
      <c r="P112" s="131"/>
      <c r="Q112" s="131"/>
      <c r="R112" s="132"/>
      <c r="S112" s="133">
        <f>IF(ISNUMBER(FIND(S$13,$G112)),$I112,IF(ISNUMBER(FIND(S$13,$H112)),$J112,""))</f>
        <v>2</v>
      </c>
      <c r="T112" s="131"/>
      <c r="U112" s="131"/>
      <c r="V112" s="132"/>
      <c r="W112" s="131"/>
      <c r="X112" s="131"/>
      <c r="Y112" s="131"/>
      <c r="Z112" s="132"/>
      <c r="AA112" s="131"/>
      <c r="AB112" s="131"/>
      <c r="AC112" s="131"/>
      <c r="AD112" s="132"/>
      <c r="AE112" s="133">
        <f t="shared" ref="AE112:AE118" si="52">IF(ISNUMBER(FIND(AE$13,$G112)),$I112,IF(ISNUMBER(FIND(AE$13,$H112)),$J112,""))</f>
        <v>2</v>
      </c>
      <c r="AF112" s="131"/>
      <c r="AG112" s="131"/>
      <c r="AH112" s="132"/>
      <c r="AI112" s="131"/>
      <c r="AJ112" s="131"/>
      <c r="AK112" s="131"/>
      <c r="AL112" s="132"/>
      <c r="AM112" s="131"/>
      <c r="AN112" s="131"/>
      <c r="AO112" s="131"/>
      <c r="AP112" s="132"/>
      <c r="AQ112" s="133">
        <f>IF(ISNUMBER(FIND(AQ$13,$G112)),$I112,IF(ISNUMBER(FIND(AQ$13,$H112)),$J112,""))</f>
        <v>5</v>
      </c>
      <c r="AR112" s="131"/>
      <c r="AS112" s="131"/>
      <c r="AT112" s="132"/>
      <c r="AU112" s="131"/>
      <c r="AV112" s="131"/>
      <c r="AW112" s="131"/>
      <c r="AX112" s="132"/>
      <c r="AY112" s="131"/>
      <c r="AZ112" s="131"/>
      <c r="BA112" s="131"/>
      <c r="BB112" s="132"/>
      <c r="BC112" s="131"/>
      <c r="BD112" s="131"/>
      <c r="BE112" s="131"/>
      <c r="BF112" s="132"/>
      <c r="BH112">
        <v>9</v>
      </c>
      <c r="BI112" t="s">
        <v>31</v>
      </c>
      <c r="BL112" t="s">
        <v>37</v>
      </c>
      <c r="BN112" t="s">
        <v>49</v>
      </c>
      <c r="BP112" s="8" t="s">
        <v>64</v>
      </c>
      <c r="BR112" t="s">
        <v>50</v>
      </c>
    </row>
    <row r="113" spans="2:70" ht="14.5" thickBot="1" x14ac:dyDescent="0.35">
      <c r="B113" s="754"/>
      <c r="C113" s="564"/>
      <c r="D113" s="757"/>
      <c r="E113" s="723" t="s">
        <v>18</v>
      </c>
      <c r="F113" s="724"/>
      <c r="G113" s="209" t="s">
        <v>252</v>
      </c>
      <c r="H113" s="210" t="s">
        <v>283</v>
      </c>
      <c r="I113" s="211">
        <v>5</v>
      </c>
      <c r="J113" s="212">
        <v>1</v>
      </c>
      <c r="K113" s="131"/>
      <c r="L113" s="131"/>
      <c r="M113" s="131"/>
      <c r="N113" s="132"/>
      <c r="O113" s="133">
        <f t="shared" ref="O113:O119" si="53">IF(ISNUMBER(FIND(O$13,$G113)),$I113,IF(ISNUMBER(FIND(O$13,$H113)),$J113,""))</f>
        <v>5</v>
      </c>
      <c r="P113" s="131"/>
      <c r="Q113" s="131"/>
      <c r="R113" s="132"/>
      <c r="S113" s="133">
        <f t="shared" ref="S113:S117" si="54">IF(ISNUMBER(FIND(S$13,$G113)),$I113,IF(ISNUMBER(FIND(S$13,$H113)),$J113,""))</f>
        <v>1</v>
      </c>
      <c r="T113" s="131"/>
      <c r="U113" s="131"/>
      <c r="V113" s="132"/>
      <c r="W113" s="131"/>
      <c r="X113" s="131"/>
      <c r="Y113" s="131"/>
      <c r="Z113" s="132"/>
      <c r="AA113" s="131"/>
      <c r="AB113" s="131"/>
      <c r="AC113" s="131"/>
      <c r="AD113" s="132"/>
      <c r="AE113" s="133">
        <f t="shared" si="52"/>
        <v>1</v>
      </c>
      <c r="AF113" s="131"/>
      <c r="AG113" s="131"/>
      <c r="AH113" s="132"/>
      <c r="AI113" s="131"/>
      <c r="AJ113" s="131"/>
      <c r="AK113" s="131"/>
      <c r="AL113" s="132"/>
      <c r="AM113" s="133">
        <f t="shared" ref="AM113:AM116" si="55">IF(ISNUMBER(FIND(AM$13,$G113)),$I113,IF(ISNUMBER(FIND(AM$13,$H113)),$J113,""))</f>
        <v>5</v>
      </c>
      <c r="AN113" s="131"/>
      <c r="AO113" s="131"/>
      <c r="AP113" s="132"/>
      <c r="AQ113" s="131"/>
      <c r="AR113" s="131"/>
      <c r="AS113" s="131"/>
      <c r="AT113" s="132"/>
      <c r="AU113" s="131"/>
      <c r="AV113" s="131"/>
      <c r="AW113" s="131"/>
      <c r="AX113" s="132"/>
      <c r="AY113" s="131"/>
      <c r="AZ113" s="131"/>
      <c r="BA113" s="131"/>
      <c r="BB113" s="132"/>
      <c r="BC113" s="131"/>
      <c r="BD113" s="131"/>
      <c r="BE113" s="131"/>
      <c r="BF113" s="132"/>
      <c r="BH113">
        <v>8</v>
      </c>
      <c r="BI113" t="s">
        <v>30</v>
      </c>
      <c r="BL113" t="s">
        <v>38</v>
      </c>
      <c r="BN113" t="s">
        <v>41</v>
      </c>
      <c r="BP113" t="s">
        <v>56</v>
      </c>
      <c r="BR113" t="s">
        <v>68</v>
      </c>
    </row>
    <row r="114" spans="2:70" ht="14.5" thickBot="1" x14ac:dyDescent="0.35">
      <c r="B114" s="754"/>
      <c r="C114" s="564"/>
      <c r="D114" s="757"/>
      <c r="E114" s="723" t="s">
        <v>19</v>
      </c>
      <c r="F114" s="724"/>
      <c r="G114" s="209" t="s">
        <v>251</v>
      </c>
      <c r="H114" s="210" t="s">
        <v>284</v>
      </c>
      <c r="I114" s="211">
        <v>4</v>
      </c>
      <c r="J114" s="212">
        <v>5</v>
      </c>
      <c r="K114" s="131"/>
      <c r="L114" s="131"/>
      <c r="M114" s="131"/>
      <c r="N114" s="132"/>
      <c r="O114" s="133">
        <f t="shared" si="53"/>
        <v>5</v>
      </c>
      <c r="P114" s="131"/>
      <c r="Q114" s="131"/>
      <c r="R114" s="132"/>
      <c r="S114" s="133">
        <f t="shared" si="54"/>
        <v>4</v>
      </c>
      <c r="T114" s="131"/>
      <c r="U114" s="131"/>
      <c r="V114" s="132"/>
      <c r="W114" s="131"/>
      <c r="X114" s="131"/>
      <c r="Y114" s="131"/>
      <c r="Z114" s="132"/>
      <c r="AA114" s="133">
        <f t="shared" ref="AA114:AA116" si="56">IF(ISNUMBER(FIND(AA$13,$G114)),$I114,IF(ISNUMBER(FIND(AA$13,$H114)),$J114,""))</f>
        <v>4</v>
      </c>
      <c r="AB114" s="131"/>
      <c r="AC114" s="131"/>
      <c r="AD114" s="132"/>
      <c r="AE114" s="131"/>
      <c r="AF114" s="131"/>
      <c r="AG114" s="131"/>
      <c r="AH114" s="132"/>
      <c r="AI114" s="131"/>
      <c r="AJ114" s="131"/>
      <c r="AK114" s="131"/>
      <c r="AL114" s="132"/>
      <c r="AM114" s="131"/>
      <c r="AN114" s="131"/>
      <c r="AO114" s="131"/>
      <c r="AP114" s="132"/>
      <c r="AQ114" s="131"/>
      <c r="AR114" s="131"/>
      <c r="AS114" s="131"/>
      <c r="AT114" s="132"/>
      <c r="AU114" s="131"/>
      <c r="AV114" s="131"/>
      <c r="AW114" s="131"/>
      <c r="AX114" s="132"/>
      <c r="AY114" s="133">
        <f t="shared" ref="AY114:AY119" si="57">IF(ISNUMBER(FIND(AY$13,$G114)),$I114,IF(ISNUMBER(FIND(AY$13,$H114)),$J114,""))</f>
        <v>5</v>
      </c>
      <c r="AZ114" s="131"/>
      <c r="BA114" s="131"/>
      <c r="BB114" s="132"/>
      <c r="BC114" s="131"/>
      <c r="BD114" s="131"/>
      <c r="BE114" s="131"/>
      <c r="BF114" s="132"/>
      <c r="BH114">
        <f>BH112*BH113</f>
        <v>72</v>
      </c>
      <c r="BI114" t="s">
        <v>32</v>
      </c>
      <c r="BL114" t="s">
        <v>39</v>
      </c>
      <c r="BN114" t="s">
        <v>42</v>
      </c>
      <c r="BP114" t="s">
        <v>57</v>
      </c>
      <c r="BR114" t="s">
        <v>69</v>
      </c>
    </row>
    <row r="115" spans="2:70" ht="14.5" thickBot="1" x14ac:dyDescent="0.35">
      <c r="B115" s="754"/>
      <c r="C115" s="564"/>
      <c r="D115" s="757"/>
      <c r="E115" s="723" t="s">
        <v>20</v>
      </c>
      <c r="F115" s="724"/>
      <c r="G115" s="209" t="s">
        <v>257</v>
      </c>
      <c r="H115" s="210" t="s">
        <v>274</v>
      </c>
      <c r="I115" s="211">
        <v>5</v>
      </c>
      <c r="J115" s="212">
        <v>0</v>
      </c>
      <c r="K115" s="133">
        <f t="shared" ref="K115:K117" si="58">IF(ISNUMBER(FIND(K$13,$G115)),$I115,IF(ISNUMBER(FIND(K$13,$H115)),$J115,""))</f>
        <v>5</v>
      </c>
      <c r="L115" s="131"/>
      <c r="M115" s="131"/>
      <c r="N115" s="132"/>
      <c r="O115" s="131"/>
      <c r="P115" s="131"/>
      <c r="Q115" s="131"/>
      <c r="R115" s="132"/>
      <c r="S115" s="131"/>
      <c r="T115" s="131"/>
      <c r="U115" s="131"/>
      <c r="V115" s="132"/>
      <c r="W115" s="133">
        <f t="shared" ref="W115:W119" si="59">IF(ISNUMBER(FIND(W$13,$G115)),$I115,IF(ISNUMBER(FIND(W$13,$H115)),$J115,""))</f>
        <v>0</v>
      </c>
      <c r="X115" s="131"/>
      <c r="Y115" s="131"/>
      <c r="Z115" s="132"/>
      <c r="AA115" s="131"/>
      <c r="AB115" s="131"/>
      <c r="AC115" s="131"/>
      <c r="AD115" s="132"/>
      <c r="AE115" s="131"/>
      <c r="AF115" s="131"/>
      <c r="AG115" s="131"/>
      <c r="AH115" s="132"/>
      <c r="AI115" s="133">
        <f t="shared" ref="AI115:AI117" si="60">IF(ISNUMBER(FIND(AI$13,$G115)),$I115,IF(ISNUMBER(FIND(AI$13,$H115)),$J115,""))</f>
        <v>0</v>
      </c>
      <c r="AJ115" s="131"/>
      <c r="AK115" s="131"/>
      <c r="AL115" s="132"/>
      <c r="AM115" s="133">
        <f t="shared" si="55"/>
        <v>5</v>
      </c>
      <c r="AN115" s="131"/>
      <c r="AO115" s="131"/>
      <c r="AP115" s="132"/>
      <c r="AQ115" s="131"/>
      <c r="AR115" s="131"/>
      <c r="AS115" s="131"/>
      <c r="AT115" s="132"/>
      <c r="AU115" s="131"/>
      <c r="AV115" s="131"/>
      <c r="AW115" s="131"/>
      <c r="AX115" s="132"/>
      <c r="AY115" s="131"/>
      <c r="AZ115" s="131"/>
      <c r="BA115" s="131"/>
      <c r="BB115" s="132"/>
      <c r="BC115" s="131"/>
      <c r="BD115" s="131"/>
      <c r="BE115" s="131"/>
      <c r="BF115" s="132"/>
      <c r="BH115">
        <f>BH113/14.5</f>
        <v>0.55172413793103448</v>
      </c>
      <c r="BI115" t="s">
        <v>36</v>
      </c>
    </row>
    <row r="116" spans="2:70" ht="14.5" thickBot="1" x14ac:dyDescent="0.35">
      <c r="B116" s="754"/>
      <c r="C116" s="564"/>
      <c r="D116" s="757"/>
      <c r="E116" s="723" t="s">
        <v>21</v>
      </c>
      <c r="F116" s="724"/>
      <c r="G116" s="209" t="s">
        <v>255</v>
      </c>
      <c r="H116" s="210" t="s">
        <v>285</v>
      </c>
      <c r="I116" s="211">
        <v>5</v>
      </c>
      <c r="J116" s="212">
        <v>2</v>
      </c>
      <c r="K116" s="131"/>
      <c r="L116" s="131"/>
      <c r="M116" s="131"/>
      <c r="N116" s="132"/>
      <c r="O116" s="133">
        <f t="shared" si="53"/>
        <v>5</v>
      </c>
      <c r="P116" s="131"/>
      <c r="Q116" s="131"/>
      <c r="R116" s="132"/>
      <c r="S116" s="131"/>
      <c r="T116" s="131"/>
      <c r="U116" s="131"/>
      <c r="V116" s="132"/>
      <c r="W116" s="131"/>
      <c r="X116" s="131"/>
      <c r="Y116" s="131"/>
      <c r="Z116" s="132"/>
      <c r="AA116" s="133">
        <f t="shared" si="56"/>
        <v>5</v>
      </c>
      <c r="AB116" s="131"/>
      <c r="AC116" s="131"/>
      <c r="AD116" s="132"/>
      <c r="AE116" s="131"/>
      <c r="AF116" s="131"/>
      <c r="AG116" s="131"/>
      <c r="AH116" s="132"/>
      <c r="AI116" s="131"/>
      <c r="AJ116" s="131"/>
      <c r="AK116" s="131"/>
      <c r="AL116" s="132"/>
      <c r="AM116" s="133">
        <f t="shared" si="55"/>
        <v>2</v>
      </c>
      <c r="AN116" s="131"/>
      <c r="AO116" s="131"/>
      <c r="AP116" s="132"/>
      <c r="AQ116" s="131"/>
      <c r="AR116" s="131"/>
      <c r="AS116" s="131"/>
      <c r="AT116" s="132"/>
      <c r="AU116" s="131"/>
      <c r="AV116" s="131"/>
      <c r="AW116" s="131"/>
      <c r="AX116" s="132"/>
      <c r="AY116" s="131"/>
      <c r="AZ116" s="131"/>
      <c r="BA116" s="131"/>
      <c r="BB116" s="132"/>
      <c r="BC116" s="133">
        <f t="shared" ref="BC116:BC118" si="61">IF(ISNUMBER(FIND(BC$13,$G116)),$I116,IF(ISNUMBER(FIND(BC$13,$H116)),$J116,""))</f>
        <v>2</v>
      </c>
      <c r="BD116" s="131"/>
      <c r="BE116" s="131"/>
      <c r="BF116" s="132"/>
      <c r="BH116">
        <f>BH115*6/10*14.5</f>
        <v>4.8</v>
      </c>
    </row>
    <row r="117" spans="2:70" ht="14.5" thickBot="1" x14ac:dyDescent="0.35">
      <c r="B117" s="754"/>
      <c r="C117" s="564"/>
      <c r="D117" s="757"/>
      <c r="E117" s="723" t="s">
        <v>22</v>
      </c>
      <c r="F117" s="724"/>
      <c r="G117" s="209" t="s">
        <v>250</v>
      </c>
      <c r="H117" s="210" t="s">
        <v>280</v>
      </c>
      <c r="I117" s="211">
        <v>1</v>
      </c>
      <c r="J117" s="212">
        <v>5</v>
      </c>
      <c r="K117" s="133">
        <f t="shared" si="58"/>
        <v>5</v>
      </c>
      <c r="L117" s="131"/>
      <c r="M117" s="131"/>
      <c r="N117" s="132"/>
      <c r="O117" s="131"/>
      <c r="P117" s="131"/>
      <c r="Q117" s="131"/>
      <c r="R117" s="132"/>
      <c r="S117" s="133">
        <f t="shared" si="54"/>
        <v>1</v>
      </c>
      <c r="T117" s="131"/>
      <c r="U117" s="131"/>
      <c r="V117" s="132"/>
      <c r="W117" s="131"/>
      <c r="X117" s="131"/>
      <c r="Y117" s="131"/>
      <c r="Z117" s="132"/>
      <c r="AA117" s="131"/>
      <c r="AB117" s="131"/>
      <c r="AC117" s="131"/>
      <c r="AD117" s="132"/>
      <c r="AE117" s="131"/>
      <c r="AF117" s="131"/>
      <c r="AG117" s="131"/>
      <c r="AH117" s="132"/>
      <c r="AI117" s="133">
        <f t="shared" si="60"/>
        <v>1</v>
      </c>
      <c r="AJ117" s="131"/>
      <c r="AK117" s="131"/>
      <c r="AL117" s="132"/>
      <c r="AM117" s="131"/>
      <c r="AN117" s="131"/>
      <c r="AO117" s="131"/>
      <c r="AP117" s="132"/>
      <c r="AQ117" s="131"/>
      <c r="AR117" s="131"/>
      <c r="AS117" s="131"/>
      <c r="AT117" s="132"/>
      <c r="AU117" s="133">
        <f t="shared" ref="AU117:AU119" si="62">IF(ISNUMBER(FIND(AU$13,$G117)),$I117,IF(ISNUMBER(FIND(AU$13,$H117)),$J117,""))</f>
        <v>5</v>
      </c>
      <c r="AV117" s="131"/>
      <c r="AW117" s="131"/>
      <c r="AX117" s="132"/>
      <c r="AY117" s="131"/>
      <c r="AZ117" s="131"/>
      <c r="BA117" s="131"/>
      <c r="BB117" s="132"/>
      <c r="BC117" s="131"/>
      <c r="BD117" s="131"/>
      <c r="BE117" s="131"/>
      <c r="BF117" s="132"/>
    </row>
    <row r="118" spans="2:70" ht="14.5" thickBot="1" x14ac:dyDescent="0.35">
      <c r="B118" s="754"/>
      <c r="C118" s="564"/>
      <c r="D118" s="757"/>
      <c r="E118" s="723" t="s">
        <v>23</v>
      </c>
      <c r="F118" s="724"/>
      <c r="G118" s="209" t="s">
        <v>258</v>
      </c>
      <c r="H118" s="210" t="s">
        <v>286</v>
      </c>
      <c r="I118" s="211">
        <v>0</v>
      </c>
      <c r="J118" s="212">
        <v>5</v>
      </c>
      <c r="K118" s="131"/>
      <c r="L118" s="131"/>
      <c r="M118" s="131"/>
      <c r="N118" s="132"/>
      <c r="O118" s="131"/>
      <c r="P118" s="131"/>
      <c r="Q118" s="131"/>
      <c r="R118" s="132"/>
      <c r="S118" s="131"/>
      <c r="T118" s="131"/>
      <c r="U118" s="131"/>
      <c r="V118" s="132"/>
      <c r="W118" s="133">
        <f t="shared" si="59"/>
        <v>0</v>
      </c>
      <c r="X118" s="131"/>
      <c r="Y118" s="131"/>
      <c r="Z118" s="132"/>
      <c r="AA118" s="131"/>
      <c r="AB118" s="131"/>
      <c r="AC118" s="131"/>
      <c r="AD118" s="132"/>
      <c r="AE118" s="133">
        <f t="shared" si="52"/>
        <v>0</v>
      </c>
      <c r="AF118" s="131"/>
      <c r="AG118" s="131"/>
      <c r="AH118" s="132"/>
      <c r="AI118" s="131"/>
      <c r="AJ118" s="131"/>
      <c r="AK118" s="131"/>
      <c r="AL118" s="132"/>
      <c r="AM118" s="131"/>
      <c r="AN118" s="131"/>
      <c r="AO118" s="131"/>
      <c r="AP118" s="132"/>
      <c r="AQ118" s="133">
        <f t="shared" ref="AQ118" si="63">IF(ISNUMBER(FIND(AQ$13,$G118)),$I118,IF(ISNUMBER(FIND(AQ$13,$H118)),$J118,""))</f>
        <v>5</v>
      </c>
      <c r="AR118" s="131"/>
      <c r="AS118" s="131"/>
      <c r="AT118" s="132"/>
      <c r="AU118" s="131"/>
      <c r="AV118" s="131"/>
      <c r="AW118" s="131"/>
      <c r="AX118" s="132"/>
      <c r="AY118" s="131"/>
      <c r="AZ118" s="131"/>
      <c r="BA118" s="131"/>
      <c r="BB118" s="132"/>
      <c r="BC118" s="133">
        <f t="shared" si="61"/>
        <v>5</v>
      </c>
      <c r="BD118" s="131"/>
      <c r="BE118" s="131"/>
      <c r="BF118" s="132"/>
      <c r="BI118" t="s">
        <v>33</v>
      </c>
    </row>
    <row r="119" spans="2:70" ht="14.5" thickBot="1" x14ac:dyDescent="0.35">
      <c r="B119" s="754"/>
      <c r="C119" s="564"/>
      <c r="D119" s="757"/>
      <c r="E119" s="723" t="s">
        <v>24</v>
      </c>
      <c r="F119" s="724"/>
      <c r="G119" s="213" t="s">
        <v>287</v>
      </c>
      <c r="H119" s="214" t="s">
        <v>288</v>
      </c>
      <c r="I119" s="215">
        <v>0</v>
      </c>
      <c r="J119" s="216">
        <v>5</v>
      </c>
      <c r="K119" s="131"/>
      <c r="L119" s="137"/>
      <c r="M119" s="177"/>
      <c r="N119" s="178"/>
      <c r="O119" s="133">
        <f t="shared" si="53"/>
        <v>5</v>
      </c>
      <c r="P119" s="137"/>
      <c r="Q119" s="177"/>
      <c r="R119" s="178"/>
      <c r="S119" s="131"/>
      <c r="T119" s="137"/>
      <c r="U119" s="177"/>
      <c r="V119" s="178"/>
      <c r="W119" s="133">
        <f t="shared" si="59"/>
        <v>5</v>
      </c>
      <c r="X119" s="137"/>
      <c r="Y119" s="177"/>
      <c r="Z119" s="178"/>
      <c r="AA119" s="131"/>
      <c r="AB119" s="177"/>
      <c r="AC119" s="177"/>
      <c r="AD119" s="178"/>
      <c r="AE119" s="131"/>
      <c r="AF119" s="137"/>
      <c r="AG119" s="177"/>
      <c r="AH119" s="178"/>
      <c r="AI119" s="131"/>
      <c r="AJ119" s="137"/>
      <c r="AK119" s="177"/>
      <c r="AL119" s="178"/>
      <c r="AM119" s="131"/>
      <c r="AN119" s="137"/>
      <c r="AO119" s="177"/>
      <c r="AP119" s="178"/>
      <c r="AQ119" s="131"/>
      <c r="AR119" s="137"/>
      <c r="AS119" s="177"/>
      <c r="AT119" s="178"/>
      <c r="AU119" s="133">
        <f t="shared" si="62"/>
        <v>0</v>
      </c>
      <c r="AV119" s="177"/>
      <c r="AW119" s="177"/>
      <c r="AX119" s="178"/>
      <c r="AY119" s="133">
        <f t="shared" si="57"/>
        <v>0</v>
      </c>
      <c r="AZ119" s="137"/>
      <c r="BA119" s="177"/>
      <c r="BB119" s="178"/>
      <c r="BC119" s="131"/>
      <c r="BD119" s="177"/>
      <c r="BE119" s="177"/>
      <c r="BF119" s="178"/>
      <c r="BI119" t="s">
        <v>34</v>
      </c>
    </row>
    <row r="120" spans="2:70" ht="15" customHeight="1" x14ac:dyDescent="0.3">
      <c r="B120" s="754"/>
      <c r="C120" s="564"/>
      <c r="D120" s="745" t="s">
        <v>248</v>
      </c>
      <c r="E120" s="725" t="s">
        <v>17</v>
      </c>
      <c r="F120" s="726"/>
      <c r="G120" s="217" t="s">
        <v>4</v>
      </c>
      <c r="H120" s="218" t="s">
        <v>9</v>
      </c>
      <c r="I120" s="222">
        <v>215</v>
      </c>
      <c r="J120" s="219">
        <v>179</v>
      </c>
      <c r="K120" s="139"/>
      <c r="L120" s="131"/>
      <c r="M120" s="128"/>
      <c r="N120" s="129"/>
      <c r="O120" s="139"/>
      <c r="P120" s="131"/>
      <c r="Q120" s="128"/>
      <c r="R120" s="129"/>
      <c r="S120" s="139"/>
      <c r="T120" s="131"/>
      <c r="U120" s="128"/>
      <c r="V120" s="129"/>
      <c r="W120" s="139"/>
      <c r="X120" s="131"/>
      <c r="Y120" s="128"/>
      <c r="Z120" s="129"/>
      <c r="AA120" s="139"/>
      <c r="AB120" s="134">
        <f>IF(ISNUMBER(FIND(AA$13,$G120)),$I120,IF(ISNUMBER(FIND(AA$13,$H120)),$J120,""))</f>
        <v>215</v>
      </c>
      <c r="AC120" s="128"/>
      <c r="AD120" s="129"/>
      <c r="AE120" s="139"/>
      <c r="AF120" s="131"/>
      <c r="AG120" s="128"/>
      <c r="AH120" s="129"/>
      <c r="AI120" s="139"/>
      <c r="AJ120" s="131"/>
      <c r="AK120" s="128"/>
      <c r="AL120" s="129"/>
      <c r="AM120" s="139"/>
      <c r="AN120" s="131"/>
      <c r="AO120" s="128"/>
      <c r="AP120" s="129"/>
      <c r="AQ120" s="139"/>
      <c r="AR120" s="131"/>
      <c r="AS120" s="128"/>
      <c r="AT120" s="129"/>
      <c r="AU120" s="139"/>
      <c r="AV120" s="134">
        <f>IF(ISNUMBER(FIND(AU$13,$G120)),$I120,IF(ISNUMBER(FIND(AU$13,$H120)),$J120,""))</f>
        <v>179</v>
      </c>
      <c r="AW120" s="128"/>
      <c r="AX120" s="129"/>
      <c r="AY120" s="139"/>
      <c r="AZ120" s="131"/>
      <c r="BA120" s="128"/>
      <c r="BB120" s="129"/>
      <c r="BC120" s="139"/>
      <c r="BD120" s="128"/>
      <c r="BE120" s="128"/>
      <c r="BF120" s="129"/>
      <c r="BI120" t="s">
        <v>43</v>
      </c>
      <c r="BL120" t="s">
        <v>46</v>
      </c>
      <c r="BN120" t="s">
        <v>52</v>
      </c>
      <c r="BP120" s="8" t="s">
        <v>63</v>
      </c>
      <c r="BR120" t="s">
        <v>63</v>
      </c>
    </row>
    <row r="121" spans="2:70" x14ac:dyDescent="0.3">
      <c r="B121" s="754"/>
      <c r="C121" s="564"/>
      <c r="D121" s="746"/>
      <c r="E121" s="599" t="s">
        <v>18</v>
      </c>
      <c r="F121" s="600"/>
      <c r="G121" s="220" t="s">
        <v>10</v>
      </c>
      <c r="H121" s="221" t="s">
        <v>11</v>
      </c>
      <c r="I121" s="222">
        <v>211</v>
      </c>
      <c r="J121" s="222">
        <v>216</v>
      </c>
      <c r="K121" s="130"/>
      <c r="L121" s="131"/>
      <c r="M121" s="131"/>
      <c r="N121" s="132"/>
      <c r="O121" s="130"/>
      <c r="P121" s="131"/>
      <c r="Q121" s="131"/>
      <c r="R121" s="132"/>
      <c r="S121" s="130"/>
      <c r="T121" s="131"/>
      <c r="U121" s="131"/>
      <c r="V121" s="132"/>
      <c r="W121" s="130"/>
      <c r="X121" s="131"/>
      <c r="Y121" s="131"/>
      <c r="Z121" s="132"/>
      <c r="AA121" s="130"/>
      <c r="AB121" s="131"/>
      <c r="AC121" s="131"/>
      <c r="AD121" s="132"/>
      <c r="AE121" s="130"/>
      <c r="AF121" s="131"/>
      <c r="AG121" s="131"/>
      <c r="AH121" s="132"/>
      <c r="AI121" s="130"/>
      <c r="AJ121" s="131"/>
      <c r="AK121" s="131"/>
      <c r="AL121" s="132"/>
      <c r="AM121" s="130"/>
      <c r="AN121" s="131"/>
      <c r="AO121" s="131"/>
      <c r="AP121" s="132"/>
      <c r="AQ121" s="130"/>
      <c r="AR121" s="131"/>
      <c r="AS121" s="131"/>
      <c r="AT121" s="132"/>
      <c r="AU121" s="130"/>
      <c r="AV121" s="131"/>
      <c r="AW121" s="131"/>
      <c r="AX121" s="132"/>
      <c r="AY121" s="130"/>
      <c r="AZ121" s="134">
        <f>IF(ISNUMBER(FIND(AY$13,$G121)),$I121,IF(ISNUMBER(FIND(AY$13,$H121)),$J121,""))</f>
        <v>211</v>
      </c>
      <c r="BA121" s="131"/>
      <c r="BB121" s="132"/>
      <c r="BC121" s="130"/>
      <c r="BD121" s="134">
        <f t="shared" ref="BD121" si="64">IF(ISNUMBER(FIND(BC$13,$G121)),$I121,IF(ISNUMBER(FIND(BC$13,$H121)),$J121,""))</f>
        <v>216</v>
      </c>
      <c r="BE121" s="131"/>
      <c r="BF121" s="132"/>
      <c r="BI121" t="s">
        <v>44</v>
      </c>
      <c r="BL121" t="s">
        <v>47</v>
      </c>
      <c r="BN121" t="s">
        <v>53</v>
      </c>
      <c r="BP121" t="s">
        <v>61</v>
      </c>
      <c r="BR121" t="s">
        <v>61</v>
      </c>
    </row>
    <row r="122" spans="2:70" x14ac:dyDescent="0.3">
      <c r="B122" s="754"/>
      <c r="C122" s="564"/>
      <c r="D122" s="746"/>
      <c r="E122" s="599" t="s">
        <v>19</v>
      </c>
      <c r="F122" s="600"/>
      <c r="G122" s="220" t="s">
        <v>3</v>
      </c>
      <c r="H122" s="221" t="s">
        <v>7</v>
      </c>
      <c r="I122" s="222">
        <v>201</v>
      </c>
      <c r="J122" s="222">
        <v>234</v>
      </c>
      <c r="K122" s="130"/>
      <c r="L122" s="131"/>
      <c r="M122" s="131"/>
      <c r="N122" s="132"/>
      <c r="O122" s="130"/>
      <c r="P122" s="131"/>
      <c r="Q122" s="131"/>
      <c r="R122" s="132"/>
      <c r="S122" s="130"/>
      <c r="T122" s="131"/>
      <c r="U122" s="131"/>
      <c r="V122" s="132"/>
      <c r="W122" s="130"/>
      <c r="X122" s="134">
        <f t="shared" ref="X122" si="65">IF(ISNUMBER(FIND(W$13,$G122)),$I122,IF(ISNUMBER(FIND(W$13,$H122)),$J122,""))</f>
        <v>201</v>
      </c>
      <c r="Y122" s="131"/>
      <c r="Z122" s="132"/>
      <c r="AA122" s="130"/>
      <c r="AB122" s="131"/>
      <c r="AC122" s="131"/>
      <c r="AD122" s="132"/>
      <c r="AE122" s="130"/>
      <c r="AF122" s="131"/>
      <c r="AG122" s="131"/>
      <c r="AH122" s="132"/>
      <c r="AI122" s="130"/>
      <c r="AJ122" s="131"/>
      <c r="AK122" s="131"/>
      <c r="AL122" s="132"/>
      <c r="AM122" s="130"/>
      <c r="AN122" s="134">
        <f t="shared" ref="AN122" si="66">IF(ISNUMBER(FIND(AM$13,$G122)),$I122,IF(ISNUMBER(FIND(AM$13,$H122)),$J122,""))</f>
        <v>234</v>
      </c>
      <c r="AO122" s="131"/>
      <c r="AP122" s="132"/>
      <c r="AQ122" s="130"/>
      <c r="AR122" s="131"/>
      <c r="AS122" s="131"/>
      <c r="AT122" s="132"/>
      <c r="AU122" s="130"/>
      <c r="AV122" s="131"/>
      <c r="AW122" s="131"/>
      <c r="AX122" s="132"/>
      <c r="AY122" s="130"/>
      <c r="AZ122" s="131"/>
      <c r="BA122" s="131"/>
      <c r="BB122" s="132"/>
      <c r="BC122" s="130"/>
      <c r="BD122" s="131"/>
      <c r="BE122" s="131"/>
      <c r="BF122" s="132"/>
      <c r="BI122" t="s">
        <v>45</v>
      </c>
      <c r="BL122" t="s">
        <v>48</v>
      </c>
      <c r="BN122" t="s">
        <v>54</v>
      </c>
      <c r="BP122" t="s">
        <v>62</v>
      </c>
      <c r="BR122" t="s">
        <v>62</v>
      </c>
    </row>
    <row r="123" spans="2:70" x14ac:dyDescent="0.3">
      <c r="B123" s="754"/>
      <c r="C123" s="564"/>
      <c r="D123" s="746"/>
      <c r="E123" s="599" t="s">
        <v>20</v>
      </c>
      <c r="F123" s="600"/>
      <c r="G123" s="220" t="s">
        <v>2</v>
      </c>
      <c r="H123" s="221" t="s">
        <v>11</v>
      </c>
      <c r="I123" s="222">
        <v>160</v>
      </c>
      <c r="J123" s="222">
        <v>277</v>
      </c>
      <c r="K123" s="130"/>
      <c r="L123" s="131"/>
      <c r="M123" s="131"/>
      <c r="N123" s="132"/>
      <c r="O123" s="130"/>
      <c r="P123" s="131"/>
      <c r="Q123" s="131"/>
      <c r="R123" s="132"/>
      <c r="S123" s="130"/>
      <c r="T123" s="134">
        <f t="shared" ref="T123" si="67">IF(ISNUMBER(FIND(S$13,$G123)),$I123,IF(ISNUMBER(FIND(S$13,$H123)),$J123,""))</f>
        <v>160</v>
      </c>
      <c r="U123" s="131"/>
      <c r="V123" s="132"/>
      <c r="W123" s="130"/>
      <c r="X123" s="131"/>
      <c r="Y123" s="131"/>
      <c r="Z123" s="132"/>
      <c r="AA123" s="130"/>
      <c r="AB123" s="131"/>
      <c r="AC123" s="131"/>
      <c r="AD123" s="132"/>
      <c r="AE123" s="130"/>
      <c r="AF123" s="131"/>
      <c r="AG123" s="131"/>
      <c r="AH123" s="132"/>
      <c r="AI123" s="130"/>
      <c r="AJ123" s="131"/>
      <c r="AK123" s="131"/>
      <c r="AL123" s="132"/>
      <c r="AM123" s="130"/>
      <c r="AN123" s="131"/>
      <c r="AO123" s="131"/>
      <c r="AP123" s="132"/>
      <c r="AQ123" s="130"/>
      <c r="AR123" s="131"/>
      <c r="AS123" s="131"/>
      <c r="AT123" s="132"/>
      <c r="AU123" s="130"/>
      <c r="AV123" s="131"/>
      <c r="AW123" s="131"/>
      <c r="AX123" s="132"/>
      <c r="AY123" s="130"/>
      <c r="AZ123" s="131"/>
      <c r="BA123" s="131"/>
      <c r="BB123" s="132"/>
      <c r="BC123" s="130"/>
      <c r="BD123" s="134">
        <f t="shared" ref="BD123" si="68">IF(ISNUMBER(FIND(BC$13,$G123)),$I123,IF(ISNUMBER(FIND(BC$13,$H123)),$J123,""))</f>
        <v>277</v>
      </c>
      <c r="BE123" s="131"/>
      <c r="BF123" s="132"/>
    </row>
    <row r="124" spans="2:70" x14ac:dyDescent="0.3">
      <c r="B124" s="754"/>
      <c r="C124" s="564"/>
      <c r="D124" s="746"/>
      <c r="E124" s="599" t="s">
        <v>21</v>
      </c>
      <c r="F124" s="600"/>
      <c r="G124" s="220" t="s">
        <v>0</v>
      </c>
      <c r="H124" s="221" t="s">
        <v>6</v>
      </c>
      <c r="I124" s="222">
        <v>238</v>
      </c>
      <c r="J124" s="222">
        <v>162</v>
      </c>
      <c r="K124" s="130"/>
      <c r="L124" s="134">
        <f t="shared" ref="L124" si="69">IF(ISNUMBER(FIND(K$13,$G124)),$I124,IF(ISNUMBER(FIND(K$13,$H124)),$J124,""))</f>
        <v>238</v>
      </c>
      <c r="M124" s="131"/>
      <c r="N124" s="132"/>
      <c r="O124" s="130"/>
      <c r="P124" s="131"/>
      <c r="Q124" s="131"/>
      <c r="R124" s="132"/>
      <c r="S124" s="130"/>
      <c r="T124" s="131"/>
      <c r="U124" s="131"/>
      <c r="V124" s="132"/>
      <c r="W124" s="130"/>
      <c r="X124" s="131"/>
      <c r="Y124" s="131"/>
      <c r="Z124" s="132"/>
      <c r="AA124" s="130"/>
      <c r="AB124" s="131"/>
      <c r="AC124" s="131"/>
      <c r="AD124" s="132"/>
      <c r="AE124" s="130"/>
      <c r="AF124" s="131"/>
      <c r="AG124" s="131"/>
      <c r="AH124" s="132"/>
      <c r="AI124" s="130"/>
      <c r="AJ124" s="134">
        <f t="shared" ref="AJ124" si="70">IF(ISNUMBER(FIND(AI$13,$G124)),$I124,IF(ISNUMBER(FIND(AI$13,$H124)),$J124,""))</f>
        <v>162</v>
      </c>
      <c r="AK124" s="131"/>
      <c r="AL124" s="132"/>
      <c r="AM124" s="130"/>
      <c r="AN124" s="131"/>
      <c r="AO124" s="131"/>
      <c r="AP124" s="132"/>
      <c r="AQ124" s="130"/>
      <c r="AR124" s="131"/>
      <c r="AS124" s="131"/>
      <c r="AT124" s="132"/>
      <c r="AU124" s="130"/>
      <c r="AV124" s="131"/>
      <c r="AW124" s="131"/>
      <c r="AX124" s="132"/>
      <c r="AY124" s="130"/>
      <c r="AZ124" s="131"/>
      <c r="BA124" s="131"/>
      <c r="BB124" s="132"/>
      <c r="BC124" s="130"/>
      <c r="BD124" s="131"/>
      <c r="BE124" s="131"/>
      <c r="BF124" s="132"/>
    </row>
    <row r="125" spans="2:70" x14ac:dyDescent="0.3">
      <c r="B125" s="754"/>
      <c r="C125" s="564"/>
      <c r="D125" s="746"/>
      <c r="E125" s="599" t="s">
        <v>22</v>
      </c>
      <c r="F125" s="600"/>
      <c r="G125" s="220" t="s">
        <v>1</v>
      </c>
      <c r="H125" s="221" t="s">
        <v>5</v>
      </c>
      <c r="I125" s="222">
        <v>215</v>
      </c>
      <c r="J125" s="222">
        <v>241</v>
      </c>
      <c r="K125" s="130"/>
      <c r="L125" s="131"/>
      <c r="M125" s="131"/>
      <c r="N125" s="132"/>
      <c r="O125" s="130"/>
      <c r="P125" s="134">
        <f t="shared" ref="P125" si="71">IF(ISNUMBER(FIND(O$13,$G125)),$I125,IF(ISNUMBER(FIND(O$13,$H125)),$J125,""))</f>
        <v>215</v>
      </c>
      <c r="Q125" s="131"/>
      <c r="R125" s="132"/>
      <c r="S125" s="130"/>
      <c r="T125" s="131"/>
      <c r="U125" s="131"/>
      <c r="V125" s="132"/>
      <c r="W125" s="130"/>
      <c r="X125" s="131"/>
      <c r="Y125" s="131"/>
      <c r="Z125" s="132"/>
      <c r="AA125" s="130"/>
      <c r="AB125" s="131"/>
      <c r="AC125" s="131"/>
      <c r="AD125" s="132"/>
      <c r="AE125" s="130"/>
      <c r="AF125" s="134">
        <f t="shared" ref="AF125" si="72">IF(ISNUMBER(FIND(AE$13,$G125)),$I125,IF(ISNUMBER(FIND(AE$13,$H125)),$J125,""))</f>
        <v>241</v>
      </c>
      <c r="AG125" s="131"/>
      <c r="AH125" s="132"/>
      <c r="AI125" s="130"/>
      <c r="AJ125" s="131"/>
      <c r="AK125" s="131"/>
      <c r="AL125" s="132"/>
      <c r="AM125" s="130"/>
      <c r="AN125" s="131"/>
      <c r="AO125" s="131"/>
      <c r="AP125" s="132"/>
      <c r="AQ125" s="130"/>
      <c r="AR125" s="131"/>
      <c r="AS125" s="131"/>
      <c r="AT125" s="132"/>
      <c r="AU125" s="130"/>
      <c r="AV125" s="131"/>
      <c r="AW125" s="131"/>
      <c r="AX125" s="132"/>
      <c r="AY125" s="130"/>
      <c r="AZ125" s="131"/>
      <c r="BA125" s="131"/>
      <c r="BB125" s="132"/>
      <c r="BC125" s="130"/>
      <c r="BD125" s="131"/>
      <c r="BE125" s="131"/>
      <c r="BF125" s="132"/>
    </row>
    <row r="126" spans="2:70" x14ac:dyDescent="0.3">
      <c r="B126" s="754"/>
      <c r="C126" s="564"/>
      <c r="D126" s="746"/>
      <c r="E126" s="599" t="s">
        <v>23</v>
      </c>
      <c r="F126" s="600"/>
      <c r="G126" s="220" t="s">
        <v>9</v>
      </c>
      <c r="H126" s="221" t="s">
        <v>10</v>
      </c>
      <c r="I126" s="222">
        <v>240</v>
      </c>
      <c r="J126" s="222">
        <v>255</v>
      </c>
      <c r="K126" s="130"/>
      <c r="L126" s="131"/>
      <c r="M126" s="131"/>
      <c r="N126" s="132"/>
      <c r="O126" s="130"/>
      <c r="P126" s="131"/>
      <c r="Q126" s="131"/>
      <c r="R126" s="132"/>
      <c r="S126" s="130"/>
      <c r="T126" s="131"/>
      <c r="U126" s="131"/>
      <c r="V126" s="132"/>
      <c r="W126" s="130"/>
      <c r="X126" s="131"/>
      <c r="Y126" s="131"/>
      <c r="Z126" s="132"/>
      <c r="AA126" s="130"/>
      <c r="AB126" s="131"/>
      <c r="AC126" s="131"/>
      <c r="AD126" s="132"/>
      <c r="AE126" s="130"/>
      <c r="AF126" s="131"/>
      <c r="AG126" s="131"/>
      <c r="AH126" s="132"/>
      <c r="AI126" s="130"/>
      <c r="AJ126" s="131"/>
      <c r="AK126" s="131"/>
      <c r="AL126" s="132"/>
      <c r="AM126" s="130"/>
      <c r="AN126" s="131"/>
      <c r="AO126" s="131"/>
      <c r="AP126" s="132"/>
      <c r="AQ126" s="130"/>
      <c r="AR126" s="131"/>
      <c r="AS126" s="131"/>
      <c r="AT126" s="132"/>
      <c r="AU126" s="130"/>
      <c r="AV126" s="134">
        <f>IF(ISNUMBER(FIND(AU$13,$G126)),$I126,IF(ISNUMBER(FIND(AU$13,$H126)),$J126,""))</f>
        <v>240</v>
      </c>
      <c r="AW126" s="131"/>
      <c r="AX126" s="132"/>
      <c r="AY126" s="130"/>
      <c r="AZ126" s="134">
        <f>IF(ISNUMBER(FIND(AY$13,$G126)),$I126,IF(ISNUMBER(FIND(AY$13,$H126)),$J126,""))</f>
        <v>255</v>
      </c>
      <c r="BA126" s="131"/>
      <c r="BB126" s="132"/>
      <c r="BC126" s="130"/>
      <c r="BD126" s="131"/>
      <c r="BE126" s="131"/>
      <c r="BF126" s="132"/>
    </row>
    <row r="127" spans="2:70" ht="14.5" thickBot="1" x14ac:dyDescent="0.35">
      <c r="B127" s="754"/>
      <c r="C127" s="564"/>
      <c r="D127" s="746"/>
      <c r="E127" s="599" t="s">
        <v>24</v>
      </c>
      <c r="F127" s="600"/>
      <c r="G127" s="223" t="s">
        <v>4</v>
      </c>
      <c r="H127" s="224" t="s">
        <v>8</v>
      </c>
      <c r="I127" s="225">
        <v>173</v>
      </c>
      <c r="J127" s="225">
        <v>228</v>
      </c>
      <c r="K127" s="136"/>
      <c r="L127" s="137"/>
      <c r="M127" s="137"/>
      <c r="N127" s="138"/>
      <c r="O127" s="136"/>
      <c r="P127" s="137"/>
      <c r="Q127" s="137"/>
      <c r="R127" s="138"/>
      <c r="S127" s="136"/>
      <c r="T127" s="137"/>
      <c r="U127" s="137"/>
      <c r="V127" s="138"/>
      <c r="W127" s="136"/>
      <c r="X127" s="137"/>
      <c r="Y127" s="137"/>
      <c r="Z127" s="138"/>
      <c r="AA127" s="136"/>
      <c r="AB127" s="134">
        <f>IF(ISNUMBER(FIND(AA$13,$G127)),$I127,IF(ISNUMBER(FIND(AA$13,$H127)),$J127,""))</f>
        <v>173</v>
      </c>
      <c r="AC127" s="137"/>
      <c r="AD127" s="138"/>
      <c r="AE127" s="136"/>
      <c r="AF127" s="137"/>
      <c r="AG127" s="137"/>
      <c r="AH127" s="138"/>
      <c r="AI127" s="136"/>
      <c r="AJ127" s="137"/>
      <c r="AK127" s="137"/>
      <c r="AL127" s="138"/>
      <c r="AM127" s="136"/>
      <c r="AN127" s="137"/>
      <c r="AO127" s="137"/>
      <c r="AP127" s="138"/>
      <c r="AQ127" s="136"/>
      <c r="AR127" s="134">
        <f>IF(ISNUMBER(FIND(AQ$13,$G127)),$I127,IF(ISNUMBER(FIND(AQ$13,$H127)),$J127,""))</f>
        <v>228</v>
      </c>
      <c r="AS127" s="137"/>
      <c r="AT127" s="138"/>
      <c r="AU127" s="136"/>
      <c r="AV127" s="131"/>
      <c r="AW127" s="137"/>
      <c r="AX127" s="138"/>
      <c r="AY127" s="136"/>
      <c r="AZ127" s="137"/>
      <c r="BA127" s="137"/>
      <c r="BB127" s="138"/>
      <c r="BC127" s="136"/>
      <c r="BD127" s="137"/>
      <c r="BE127" s="137"/>
      <c r="BF127" s="138"/>
    </row>
    <row r="128" spans="2:70" x14ac:dyDescent="0.3">
      <c r="B128" s="754"/>
      <c r="C128" s="564"/>
      <c r="D128" s="745" t="s">
        <v>247</v>
      </c>
      <c r="E128" s="725" t="s">
        <v>17</v>
      </c>
      <c r="F128" s="726"/>
      <c r="G128" s="217" t="s">
        <v>4</v>
      </c>
      <c r="H128" s="218" t="s">
        <v>9</v>
      </c>
      <c r="I128" s="201">
        <f>I120/MAX($I120:$J120)*210</f>
        <v>210</v>
      </c>
      <c r="J128" s="202">
        <f t="shared" ref="J128:J135" si="73">J120/MAX($I120:$J120)*210</f>
        <v>174.83720930232556</v>
      </c>
      <c r="K128" s="139"/>
      <c r="L128" s="131"/>
      <c r="M128" s="128"/>
      <c r="N128" s="129"/>
      <c r="O128" s="139"/>
      <c r="P128" s="131"/>
      <c r="Q128" s="128"/>
      <c r="R128" s="129"/>
      <c r="S128" s="139"/>
      <c r="T128" s="131"/>
      <c r="U128" s="128"/>
      <c r="V128" s="129"/>
      <c r="W128" s="139"/>
      <c r="X128" s="131"/>
      <c r="Y128" s="128"/>
      <c r="Z128" s="129"/>
      <c r="AA128" s="139"/>
      <c r="AB128" s="134">
        <f>AB120/MAX($K120:$BE120)*210</f>
        <v>210</v>
      </c>
      <c r="AC128" s="128"/>
      <c r="AD128" s="129"/>
      <c r="AE128" s="139"/>
      <c r="AF128" s="131"/>
      <c r="AG128" s="128"/>
      <c r="AH128" s="129"/>
      <c r="AI128" s="139"/>
      <c r="AJ128" s="128"/>
      <c r="AK128" s="128"/>
      <c r="AL128" s="129"/>
      <c r="AM128" s="139"/>
      <c r="AN128" s="128"/>
      <c r="AO128" s="128"/>
      <c r="AP128" s="129"/>
      <c r="AQ128" s="139"/>
      <c r="AR128" s="131"/>
      <c r="AS128" s="128"/>
      <c r="AT128" s="129"/>
      <c r="AU128" s="139"/>
      <c r="AV128" s="134">
        <f>AV120/MAX($K120:$BE120)*210</f>
        <v>174.83720930232556</v>
      </c>
      <c r="AW128" s="128"/>
      <c r="AX128" s="129"/>
      <c r="AY128" s="139"/>
      <c r="AZ128" s="128"/>
      <c r="BA128" s="128"/>
      <c r="BB128" s="129"/>
      <c r="BC128" s="139"/>
      <c r="BD128" s="128"/>
      <c r="BE128" s="128"/>
      <c r="BF128" s="129"/>
    </row>
    <row r="129" spans="2:70" x14ac:dyDescent="0.3">
      <c r="B129" s="754"/>
      <c r="C129" s="564"/>
      <c r="D129" s="746"/>
      <c r="E129" s="599" t="s">
        <v>18</v>
      </c>
      <c r="F129" s="600"/>
      <c r="G129" s="220" t="s">
        <v>10</v>
      </c>
      <c r="H129" s="221" t="s">
        <v>11</v>
      </c>
      <c r="I129" s="203">
        <f t="shared" ref="I129" si="74">I121/MAX($I121:$J121)*210</f>
        <v>205.13888888888889</v>
      </c>
      <c r="J129" s="204">
        <f t="shared" si="73"/>
        <v>210</v>
      </c>
      <c r="K129" s="130"/>
      <c r="L129" s="131"/>
      <c r="M129" s="131"/>
      <c r="N129" s="132"/>
      <c r="O129" s="130"/>
      <c r="P129" s="131"/>
      <c r="Q129" s="131"/>
      <c r="R129" s="132"/>
      <c r="S129" s="130"/>
      <c r="T129" s="131"/>
      <c r="U129" s="131"/>
      <c r="V129" s="132"/>
      <c r="W129" s="130"/>
      <c r="X129" s="131"/>
      <c r="Y129" s="131"/>
      <c r="Z129" s="132"/>
      <c r="AA129" s="130"/>
      <c r="AB129" s="131"/>
      <c r="AC129" s="131"/>
      <c r="AD129" s="132"/>
      <c r="AE129" s="130"/>
      <c r="AF129" s="131"/>
      <c r="AG129" s="131"/>
      <c r="AH129" s="132"/>
      <c r="AI129" s="130"/>
      <c r="AJ129" s="131"/>
      <c r="AK129" s="131"/>
      <c r="AL129" s="132"/>
      <c r="AM129" s="130"/>
      <c r="AN129" s="131"/>
      <c r="AO129" s="131"/>
      <c r="AP129" s="132"/>
      <c r="AQ129" s="130"/>
      <c r="AR129" s="131"/>
      <c r="AS129" s="131"/>
      <c r="AT129" s="132"/>
      <c r="AU129" s="130"/>
      <c r="AV129" s="131"/>
      <c r="AW129" s="131"/>
      <c r="AX129" s="132"/>
      <c r="AY129" s="130"/>
      <c r="AZ129" s="134">
        <f>AZ121/MAX($K121:$BE121)*210</f>
        <v>205.13888888888889</v>
      </c>
      <c r="BA129" s="131"/>
      <c r="BB129" s="132"/>
      <c r="BC129" s="130"/>
      <c r="BD129" s="134">
        <f>BD121/MAX($K121:$BE121)*210</f>
        <v>210</v>
      </c>
      <c r="BE129" s="131"/>
      <c r="BF129" s="132"/>
    </row>
    <row r="130" spans="2:70" x14ac:dyDescent="0.3">
      <c r="B130" s="754"/>
      <c r="C130" s="564"/>
      <c r="D130" s="746"/>
      <c r="E130" s="599" t="s">
        <v>19</v>
      </c>
      <c r="F130" s="600"/>
      <c r="G130" s="220" t="s">
        <v>3</v>
      </c>
      <c r="H130" s="221" t="s">
        <v>7</v>
      </c>
      <c r="I130" s="203">
        <f t="shared" ref="I130" si="75">I122/MAX($I122:$J122)*210</f>
        <v>180.38461538461539</v>
      </c>
      <c r="J130" s="204">
        <f t="shared" si="73"/>
        <v>210</v>
      </c>
      <c r="K130" s="130"/>
      <c r="L130" s="131"/>
      <c r="M130" s="131"/>
      <c r="N130" s="132"/>
      <c r="O130" s="130"/>
      <c r="P130" s="131"/>
      <c r="Q130" s="131"/>
      <c r="R130" s="132"/>
      <c r="S130" s="130"/>
      <c r="T130" s="131"/>
      <c r="U130" s="131"/>
      <c r="V130" s="132"/>
      <c r="W130" s="130"/>
      <c r="X130" s="134">
        <f>X122/MAX($K122:$BE122)*210</f>
        <v>180.38461538461539</v>
      </c>
      <c r="Y130" s="131"/>
      <c r="Z130" s="132"/>
      <c r="AA130" s="130"/>
      <c r="AB130" s="131"/>
      <c r="AC130" s="131"/>
      <c r="AD130" s="132"/>
      <c r="AE130" s="130"/>
      <c r="AF130" s="131"/>
      <c r="AG130" s="131"/>
      <c r="AH130" s="132"/>
      <c r="AI130" s="130"/>
      <c r="AJ130" s="131"/>
      <c r="AK130" s="131"/>
      <c r="AL130" s="132"/>
      <c r="AM130" s="130"/>
      <c r="AN130" s="134">
        <f>AN122/MAX($K122:$BE122)*210</f>
        <v>210</v>
      </c>
      <c r="AO130" s="131"/>
      <c r="AP130" s="132"/>
      <c r="AQ130" s="130"/>
      <c r="AR130" s="131"/>
      <c r="AS130" s="131"/>
      <c r="AT130" s="132"/>
      <c r="AU130" s="130"/>
      <c r="AV130" s="131"/>
      <c r="AW130" s="131"/>
      <c r="AX130" s="132"/>
      <c r="AY130" s="130"/>
      <c r="AZ130" s="131"/>
      <c r="BA130" s="131"/>
      <c r="BB130" s="132"/>
      <c r="BC130" s="130"/>
      <c r="BD130" s="131"/>
      <c r="BE130" s="131"/>
      <c r="BF130" s="132"/>
    </row>
    <row r="131" spans="2:70" x14ac:dyDescent="0.3">
      <c r="B131" s="754"/>
      <c r="C131" s="564"/>
      <c r="D131" s="746"/>
      <c r="E131" s="599" t="s">
        <v>20</v>
      </c>
      <c r="F131" s="600"/>
      <c r="G131" s="220" t="s">
        <v>2</v>
      </c>
      <c r="H131" s="221" t="s">
        <v>11</v>
      </c>
      <c r="I131" s="203">
        <f t="shared" ref="I131" si="76">I123/MAX($I123:$J123)*210</f>
        <v>121.29963898916968</v>
      </c>
      <c r="J131" s="204">
        <f t="shared" si="73"/>
        <v>210</v>
      </c>
      <c r="K131" s="130"/>
      <c r="L131" s="131"/>
      <c r="M131" s="131"/>
      <c r="N131" s="132"/>
      <c r="O131" s="130"/>
      <c r="P131" s="131"/>
      <c r="Q131" s="131"/>
      <c r="R131" s="132"/>
      <c r="S131" s="130"/>
      <c r="T131" s="134">
        <f>T123/MAX($K123:$BE123)*210</f>
        <v>121.29963898916968</v>
      </c>
      <c r="U131" s="131"/>
      <c r="V131" s="132"/>
      <c r="W131" s="130"/>
      <c r="X131" s="131"/>
      <c r="Y131" s="131"/>
      <c r="Z131" s="132"/>
      <c r="AA131" s="130"/>
      <c r="AB131" s="131"/>
      <c r="AC131" s="131"/>
      <c r="AD131" s="132"/>
      <c r="AE131" s="130"/>
      <c r="AF131" s="131"/>
      <c r="AG131" s="131"/>
      <c r="AH131" s="132"/>
      <c r="AI131" s="130"/>
      <c r="AJ131" s="131"/>
      <c r="AK131" s="131"/>
      <c r="AL131" s="132"/>
      <c r="AM131" s="130"/>
      <c r="AN131" s="131"/>
      <c r="AO131" s="131"/>
      <c r="AP131" s="132"/>
      <c r="AQ131" s="130"/>
      <c r="AR131" s="131"/>
      <c r="AS131" s="131"/>
      <c r="AT131" s="132"/>
      <c r="AU131" s="130"/>
      <c r="AV131" s="131"/>
      <c r="AW131" s="131"/>
      <c r="AX131" s="132"/>
      <c r="AY131" s="130"/>
      <c r="AZ131" s="131"/>
      <c r="BA131" s="131"/>
      <c r="BB131" s="132"/>
      <c r="BC131" s="130"/>
      <c r="BD131" s="134">
        <f>BD123/MAX($K123:$BE123)*210</f>
        <v>210</v>
      </c>
      <c r="BE131" s="131"/>
      <c r="BF131" s="132"/>
    </row>
    <row r="132" spans="2:70" x14ac:dyDescent="0.3">
      <c r="B132" s="754"/>
      <c r="C132" s="564"/>
      <c r="D132" s="746"/>
      <c r="E132" s="599" t="s">
        <v>21</v>
      </c>
      <c r="F132" s="600"/>
      <c r="G132" s="220" t="s">
        <v>0</v>
      </c>
      <c r="H132" s="221" t="s">
        <v>6</v>
      </c>
      <c r="I132" s="203">
        <f t="shared" ref="I132" si="77">I124/MAX($I124:$J124)*210</f>
        <v>210</v>
      </c>
      <c r="J132" s="204">
        <f t="shared" si="73"/>
        <v>142.94117647058823</v>
      </c>
      <c r="K132" s="130"/>
      <c r="L132" s="134">
        <f>L124/MAX($K124:$BE124)*210</f>
        <v>210</v>
      </c>
      <c r="M132" s="131"/>
      <c r="N132" s="132"/>
      <c r="O132" s="130"/>
      <c r="P132" s="131"/>
      <c r="Q132" s="131"/>
      <c r="R132" s="132"/>
      <c r="S132" s="130"/>
      <c r="T132" s="131"/>
      <c r="U132" s="131"/>
      <c r="V132" s="132"/>
      <c r="W132" s="130"/>
      <c r="X132" s="131"/>
      <c r="Y132" s="131"/>
      <c r="Z132" s="132"/>
      <c r="AA132" s="130"/>
      <c r="AB132" s="131"/>
      <c r="AC132" s="131"/>
      <c r="AD132" s="132"/>
      <c r="AE132" s="130"/>
      <c r="AF132" s="131"/>
      <c r="AG132" s="131"/>
      <c r="AH132" s="132"/>
      <c r="AI132" s="130"/>
      <c r="AJ132" s="134">
        <f>AJ124/MAX($K124:$BE124)*210</f>
        <v>142.94117647058823</v>
      </c>
      <c r="AK132" s="131"/>
      <c r="AL132" s="132"/>
      <c r="AM132" s="130"/>
      <c r="AN132" s="131"/>
      <c r="AO132" s="131"/>
      <c r="AP132" s="132"/>
      <c r="AQ132" s="130"/>
      <c r="AR132" s="131"/>
      <c r="AS132" s="131"/>
      <c r="AT132" s="132"/>
      <c r="AU132" s="130"/>
      <c r="AV132" s="131"/>
      <c r="AW132" s="131"/>
      <c r="AX132" s="132"/>
      <c r="AY132" s="130"/>
      <c r="AZ132" s="131"/>
      <c r="BA132" s="131"/>
      <c r="BB132" s="132"/>
      <c r="BC132" s="130"/>
      <c r="BD132" s="131"/>
      <c r="BE132" s="131"/>
      <c r="BF132" s="132"/>
    </row>
    <row r="133" spans="2:70" x14ac:dyDescent="0.3">
      <c r="B133" s="754"/>
      <c r="C133" s="564"/>
      <c r="D133" s="746"/>
      <c r="E133" s="599" t="s">
        <v>22</v>
      </c>
      <c r="F133" s="600"/>
      <c r="G133" s="220" t="s">
        <v>1</v>
      </c>
      <c r="H133" s="221" t="s">
        <v>5</v>
      </c>
      <c r="I133" s="203">
        <f t="shared" ref="I133" si="78">I125/MAX($I125:$J125)*210</f>
        <v>187.34439834024897</v>
      </c>
      <c r="J133" s="204">
        <f t="shared" si="73"/>
        <v>210</v>
      </c>
      <c r="K133" s="130"/>
      <c r="L133" s="131"/>
      <c r="M133" s="131"/>
      <c r="N133" s="132"/>
      <c r="O133" s="130"/>
      <c r="P133" s="134">
        <f>P125/MAX($K125:$BE125)*210</f>
        <v>187.34439834024897</v>
      </c>
      <c r="Q133" s="131"/>
      <c r="R133" s="132"/>
      <c r="S133" s="130"/>
      <c r="T133" s="131"/>
      <c r="U133" s="131"/>
      <c r="V133" s="132"/>
      <c r="W133" s="130"/>
      <c r="X133" s="131"/>
      <c r="Y133" s="131"/>
      <c r="Z133" s="132"/>
      <c r="AA133" s="130"/>
      <c r="AB133" s="131"/>
      <c r="AC133" s="131"/>
      <c r="AD133" s="132"/>
      <c r="AE133" s="130"/>
      <c r="AF133" s="134">
        <f>AF125/MAX($K125:$BE125)*210</f>
        <v>210</v>
      </c>
      <c r="AG133" s="131"/>
      <c r="AH133" s="132"/>
      <c r="AI133" s="130"/>
      <c r="AJ133" s="131"/>
      <c r="AK133" s="131"/>
      <c r="AL133" s="132"/>
      <c r="AM133" s="130"/>
      <c r="AN133" s="131"/>
      <c r="AO133" s="131"/>
      <c r="AP133" s="132"/>
      <c r="AQ133" s="130"/>
      <c r="AR133" s="131"/>
      <c r="AS133" s="131"/>
      <c r="AT133" s="132"/>
      <c r="AU133" s="130"/>
      <c r="AV133" s="131"/>
      <c r="AW133" s="131"/>
      <c r="AX133" s="132"/>
      <c r="AY133" s="130"/>
      <c r="AZ133" s="131"/>
      <c r="BA133" s="131"/>
      <c r="BB133" s="132"/>
      <c r="BC133" s="130"/>
      <c r="BD133" s="131"/>
      <c r="BE133" s="131"/>
      <c r="BF133" s="132"/>
    </row>
    <row r="134" spans="2:70" x14ac:dyDescent="0.3">
      <c r="B134" s="754"/>
      <c r="C134" s="564"/>
      <c r="D134" s="746"/>
      <c r="E134" s="599" t="s">
        <v>23</v>
      </c>
      <c r="F134" s="600"/>
      <c r="G134" s="220" t="s">
        <v>9</v>
      </c>
      <c r="H134" s="221" t="s">
        <v>10</v>
      </c>
      <c r="I134" s="203">
        <f t="shared" ref="I134" si="79">I126/MAX($I126:$J126)*210</f>
        <v>197.64705882352942</v>
      </c>
      <c r="J134" s="204">
        <f t="shared" si="73"/>
        <v>210</v>
      </c>
      <c r="K134" s="130"/>
      <c r="L134" s="131"/>
      <c r="M134" s="131"/>
      <c r="N134" s="132"/>
      <c r="O134" s="130"/>
      <c r="P134" s="131"/>
      <c r="Q134" s="131"/>
      <c r="R134" s="132"/>
      <c r="S134" s="130"/>
      <c r="T134" s="131"/>
      <c r="U134" s="131"/>
      <c r="V134" s="132"/>
      <c r="W134" s="130"/>
      <c r="X134" s="131"/>
      <c r="Y134" s="131"/>
      <c r="Z134" s="132"/>
      <c r="AA134" s="130"/>
      <c r="AB134" s="131"/>
      <c r="AC134" s="131"/>
      <c r="AD134" s="132"/>
      <c r="AE134" s="130"/>
      <c r="AF134" s="131"/>
      <c r="AG134" s="131"/>
      <c r="AH134" s="132"/>
      <c r="AI134" s="130"/>
      <c r="AJ134" s="131"/>
      <c r="AK134" s="131"/>
      <c r="AL134" s="132"/>
      <c r="AM134" s="130"/>
      <c r="AN134" s="131"/>
      <c r="AO134" s="131"/>
      <c r="AP134" s="132"/>
      <c r="AQ134" s="130"/>
      <c r="AR134" s="131"/>
      <c r="AS134" s="131"/>
      <c r="AT134" s="132"/>
      <c r="AU134" s="130"/>
      <c r="AV134" s="134">
        <f>AV126/MAX($K126:$BE126)*210</f>
        <v>197.64705882352942</v>
      </c>
      <c r="AW134" s="131"/>
      <c r="AX134" s="132"/>
      <c r="AY134" s="130"/>
      <c r="AZ134" s="134">
        <f>AZ126/MAX($K126:$BE126)*210</f>
        <v>210</v>
      </c>
      <c r="BA134" s="131"/>
      <c r="BB134" s="132"/>
      <c r="BC134" s="130"/>
      <c r="BD134" s="131"/>
      <c r="BE134" s="131"/>
      <c r="BF134" s="132"/>
    </row>
    <row r="135" spans="2:70" ht="14.5" thickBot="1" x14ac:dyDescent="0.35">
      <c r="B135" s="754"/>
      <c r="C135" s="564"/>
      <c r="D135" s="746"/>
      <c r="E135" s="599" t="s">
        <v>24</v>
      </c>
      <c r="F135" s="600"/>
      <c r="G135" s="223" t="s">
        <v>4</v>
      </c>
      <c r="H135" s="224" t="s">
        <v>8</v>
      </c>
      <c r="I135" s="267">
        <f t="shared" ref="I135" si="80">I127/MAX($I127:$J127)*210</f>
        <v>159.34210526315789</v>
      </c>
      <c r="J135" s="268">
        <f t="shared" si="73"/>
        <v>210</v>
      </c>
      <c r="K135" s="136"/>
      <c r="L135" s="131"/>
      <c r="M135" s="137"/>
      <c r="N135" s="138"/>
      <c r="O135" s="136"/>
      <c r="P135" s="131"/>
      <c r="Q135" s="137"/>
      <c r="R135" s="138"/>
      <c r="S135" s="136"/>
      <c r="T135" s="131"/>
      <c r="U135" s="137"/>
      <c r="V135" s="138"/>
      <c r="W135" s="136"/>
      <c r="X135" s="131"/>
      <c r="Y135" s="137"/>
      <c r="Z135" s="138"/>
      <c r="AA135" s="136"/>
      <c r="AB135" s="134">
        <f>AB127/MAX($K127:$BE127)*210</f>
        <v>159.34210526315789</v>
      </c>
      <c r="AC135" s="137"/>
      <c r="AD135" s="138"/>
      <c r="AE135" s="136"/>
      <c r="AF135" s="131"/>
      <c r="AG135" s="137"/>
      <c r="AH135" s="138"/>
      <c r="AI135" s="136"/>
      <c r="AJ135" s="131"/>
      <c r="AK135" s="137"/>
      <c r="AL135" s="138"/>
      <c r="AM135" s="136"/>
      <c r="AN135" s="131"/>
      <c r="AO135" s="137"/>
      <c r="AP135" s="138"/>
      <c r="AQ135" s="136"/>
      <c r="AR135" s="134">
        <f>AR127/MAX($K127:$BE127)*210</f>
        <v>210</v>
      </c>
      <c r="AS135" s="137"/>
      <c r="AT135" s="138"/>
      <c r="AU135" s="136"/>
      <c r="AV135" s="131"/>
      <c r="AW135" s="137"/>
      <c r="AX135" s="138"/>
      <c r="AY135" s="136"/>
      <c r="AZ135" s="131"/>
      <c r="BA135" s="137"/>
      <c r="BB135" s="138"/>
      <c r="BC135" s="136"/>
      <c r="BD135" s="137"/>
      <c r="BE135" s="137"/>
      <c r="BF135" s="138"/>
    </row>
    <row r="136" spans="2:70" ht="15" customHeight="1" x14ac:dyDescent="0.3">
      <c r="B136" s="754"/>
      <c r="C136" s="564"/>
      <c r="D136" s="728" t="s">
        <v>246</v>
      </c>
      <c r="E136" s="601" t="s">
        <v>17</v>
      </c>
      <c r="F136" s="602"/>
      <c r="G136" s="226" t="s">
        <v>1</v>
      </c>
      <c r="H136" s="227" t="s">
        <v>10</v>
      </c>
      <c r="I136" s="228">
        <v>14</v>
      </c>
      <c r="J136" s="229">
        <v>3</v>
      </c>
      <c r="K136" s="161"/>
      <c r="L136" s="162"/>
      <c r="M136" s="131"/>
      <c r="N136" s="163"/>
      <c r="O136" s="164"/>
      <c r="P136" s="162"/>
      <c r="Q136" s="170">
        <f t="shared" ref="Q136" si="81">IF(ISNUMBER(FIND(O$13,$G136)),$I136,IF(ISNUMBER(FIND(O$13,$H136)),$J136,""))</f>
        <v>14</v>
      </c>
      <c r="R136" s="163"/>
      <c r="S136" s="164"/>
      <c r="T136" s="162"/>
      <c r="U136" s="131"/>
      <c r="V136" s="163"/>
      <c r="W136" s="164"/>
      <c r="X136" s="162"/>
      <c r="Y136" s="131"/>
      <c r="Z136" s="163"/>
      <c r="AA136" s="164"/>
      <c r="AB136" s="162"/>
      <c r="AC136" s="131"/>
      <c r="AD136" s="163"/>
      <c r="AE136" s="164"/>
      <c r="AF136" s="162"/>
      <c r="AG136" s="131"/>
      <c r="AH136" s="163"/>
      <c r="AI136" s="164"/>
      <c r="AJ136" s="162"/>
      <c r="AK136" s="131"/>
      <c r="AL136" s="163"/>
      <c r="AM136" s="164"/>
      <c r="AN136" s="162"/>
      <c r="AO136" s="131"/>
      <c r="AP136" s="163"/>
      <c r="AQ136" s="164"/>
      <c r="AR136" s="162"/>
      <c r="AS136" s="131"/>
      <c r="AT136" s="163"/>
      <c r="AU136" s="164"/>
      <c r="AV136" s="162"/>
      <c r="AW136" s="131"/>
      <c r="AX136" s="163"/>
      <c r="AY136" s="164"/>
      <c r="AZ136" s="162"/>
      <c r="BA136" s="170">
        <f t="shared" ref="BA136:BA139" si="82">IF(ISNUMBER(FIND(AY$13,$G136)),$I136,IF(ISNUMBER(FIND(AY$13,$H136)),$J136,""))</f>
        <v>3</v>
      </c>
      <c r="BB136" s="163"/>
      <c r="BC136" s="164"/>
      <c r="BD136" s="162"/>
      <c r="BE136" s="128"/>
      <c r="BF136" s="163"/>
      <c r="BH136">
        <v>9</v>
      </c>
      <c r="BI136" t="s">
        <v>35</v>
      </c>
      <c r="BL136" t="s">
        <v>40</v>
      </c>
      <c r="BN136" t="s">
        <v>50</v>
      </c>
      <c r="BP136" s="8" t="s">
        <v>58</v>
      </c>
      <c r="BR136" t="s">
        <v>65</v>
      </c>
    </row>
    <row r="137" spans="2:70" x14ac:dyDescent="0.3">
      <c r="B137" s="754"/>
      <c r="C137" s="564"/>
      <c r="D137" s="729"/>
      <c r="E137" s="603" t="s">
        <v>18</v>
      </c>
      <c r="F137" s="604"/>
      <c r="G137" s="230" t="s">
        <v>3</v>
      </c>
      <c r="H137" s="231" t="s">
        <v>9</v>
      </c>
      <c r="I137" s="228">
        <v>14</v>
      </c>
      <c r="J137" s="232">
        <v>1</v>
      </c>
      <c r="K137" s="166"/>
      <c r="L137" s="167"/>
      <c r="M137" s="131"/>
      <c r="N137" s="168"/>
      <c r="O137" s="169"/>
      <c r="P137" s="167"/>
      <c r="Q137" s="131"/>
      <c r="R137" s="168"/>
      <c r="S137" s="169"/>
      <c r="T137" s="167"/>
      <c r="U137" s="131"/>
      <c r="V137" s="168"/>
      <c r="W137" s="169"/>
      <c r="X137" s="167"/>
      <c r="Y137" s="170">
        <f t="shared" ref="Y137" si="83">IF(ISNUMBER(FIND(W$13,$G137)),$I137,IF(ISNUMBER(FIND(W$13,$H137)),$J137,""))</f>
        <v>14</v>
      </c>
      <c r="Z137" s="168"/>
      <c r="AA137" s="169"/>
      <c r="AB137" s="167"/>
      <c r="AC137" s="131"/>
      <c r="AD137" s="168"/>
      <c r="AE137" s="169"/>
      <c r="AF137" s="167"/>
      <c r="AG137" s="131"/>
      <c r="AH137" s="168"/>
      <c r="AI137" s="169"/>
      <c r="AJ137" s="167"/>
      <c r="AK137" s="131"/>
      <c r="AL137" s="168"/>
      <c r="AM137" s="169"/>
      <c r="AN137" s="167"/>
      <c r="AO137" s="131"/>
      <c r="AP137" s="168"/>
      <c r="AQ137" s="169"/>
      <c r="AR137" s="167"/>
      <c r="AS137" s="131"/>
      <c r="AT137" s="168"/>
      <c r="AU137" s="169"/>
      <c r="AV137" s="167"/>
      <c r="AW137" s="170">
        <f t="shared" ref="AW137:AW138" si="84">IF(ISNUMBER(FIND(AU$13,$G137)),$I137,IF(ISNUMBER(FIND(AU$13,$H137)),$J137,""))</f>
        <v>1</v>
      </c>
      <c r="AX137" s="168"/>
      <c r="AY137" s="169"/>
      <c r="AZ137" s="167"/>
      <c r="BA137" s="131"/>
      <c r="BB137" s="168"/>
      <c r="BC137" s="169"/>
      <c r="BD137" s="167"/>
      <c r="BE137" s="131"/>
      <c r="BF137" s="168"/>
      <c r="BH137">
        <v>4</v>
      </c>
      <c r="BI137" t="s">
        <v>30</v>
      </c>
      <c r="BL137" t="s">
        <v>41</v>
      </c>
      <c r="BN137" t="s">
        <v>51</v>
      </c>
      <c r="BP137" t="s">
        <v>59</v>
      </c>
      <c r="BR137" t="s">
        <v>66</v>
      </c>
    </row>
    <row r="138" spans="2:70" x14ac:dyDescent="0.3">
      <c r="B138" s="754"/>
      <c r="C138" s="564"/>
      <c r="D138" s="729"/>
      <c r="E138" s="603" t="s">
        <v>19</v>
      </c>
      <c r="F138" s="604"/>
      <c r="G138" s="230" t="s">
        <v>8</v>
      </c>
      <c r="H138" s="231" t="s">
        <v>9</v>
      </c>
      <c r="I138" s="228">
        <v>14</v>
      </c>
      <c r="J138" s="232">
        <v>4</v>
      </c>
      <c r="K138" s="166"/>
      <c r="L138" s="167"/>
      <c r="M138" s="131"/>
      <c r="N138" s="168"/>
      <c r="O138" s="169"/>
      <c r="P138" s="167"/>
      <c r="Q138" s="131"/>
      <c r="R138" s="168"/>
      <c r="S138" s="169"/>
      <c r="T138" s="167"/>
      <c r="U138" s="131"/>
      <c r="V138" s="168"/>
      <c r="W138" s="169"/>
      <c r="X138" s="167"/>
      <c r="Y138" s="131"/>
      <c r="Z138" s="168"/>
      <c r="AA138" s="169"/>
      <c r="AB138" s="167"/>
      <c r="AC138" s="131"/>
      <c r="AD138" s="168"/>
      <c r="AE138" s="169"/>
      <c r="AF138" s="167"/>
      <c r="AG138" s="131"/>
      <c r="AH138" s="168"/>
      <c r="AI138" s="169"/>
      <c r="AJ138" s="167"/>
      <c r="AK138" s="131"/>
      <c r="AL138" s="168"/>
      <c r="AM138" s="169"/>
      <c r="AN138" s="167"/>
      <c r="AO138" s="131"/>
      <c r="AP138" s="168"/>
      <c r="AQ138" s="169"/>
      <c r="AR138" s="167"/>
      <c r="AS138" s="170">
        <f t="shared" ref="AS138" si="85">IF(ISNUMBER(FIND(AQ$13,$G138)),$I138,IF(ISNUMBER(FIND(AQ$13,$H138)),$J138,""))</f>
        <v>14</v>
      </c>
      <c r="AT138" s="168"/>
      <c r="AU138" s="169"/>
      <c r="AV138" s="167"/>
      <c r="AW138" s="170">
        <f t="shared" si="84"/>
        <v>4</v>
      </c>
      <c r="AX138" s="168"/>
      <c r="AY138" s="169"/>
      <c r="AZ138" s="167"/>
      <c r="BA138" s="131"/>
      <c r="BB138" s="168"/>
      <c r="BC138" s="169"/>
      <c r="BD138" s="167"/>
      <c r="BE138" s="131"/>
      <c r="BF138" s="168"/>
      <c r="BH138">
        <f>BH136*BH137</f>
        <v>36</v>
      </c>
      <c r="BI138" t="s">
        <v>32</v>
      </c>
      <c r="BL138" t="s">
        <v>42</v>
      </c>
      <c r="BN138" t="s">
        <v>55</v>
      </c>
      <c r="BP138" t="s">
        <v>60</v>
      </c>
      <c r="BR138" t="s">
        <v>67</v>
      </c>
    </row>
    <row r="139" spans="2:70" x14ac:dyDescent="0.3">
      <c r="B139" s="754"/>
      <c r="C139" s="564"/>
      <c r="D139" s="729"/>
      <c r="E139" s="603" t="s">
        <v>20</v>
      </c>
      <c r="F139" s="604"/>
      <c r="G139" s="230" t="s">
        <v>5</v>
      </c>
      <c r="H139" s="231" t="s">
        <v>10</v>
      </c>
      <c r="I139" s="228">
        <v>9</v>
      </c>
      <c r="J139" s="232">
        <v>14</v>
      </c>
      <c r="K139" s="166"/>
      <c r="L139" s="167"/>
      <c r="M139" s="131"/>
      <c r="N139" s="168"/>
      <c r="O139" s="169"/>
      <c r="P139" s="167"/>
      <c r="Q139" s="131"/>
      <c r="R139" s="168"/>
      <c r="S139" s="169"/>
      <c r="T139" s="167"/>
      <c r="U139" s="131"/>
      <c r="V139" s="168"/>
      <c r="W139" s="169"/>
      <c r="X139" s="167"/>
      <c r="Y139" s="131"/>
      <c r="Z139" s="168"/>
      <c r="AA139" s="169"/>
      <c r="AB139" s="167"/>
      <c r="AC139" s="131"/>
      <c r="AD139" s="168"/>
      <c r="AE139" s="169"/>
      <c r="AF139" s="167"/>
      <c r="AG139" s="170">
        <f t="shared" ref="AG139" si="86">IF(ISNUMBER(FIND(AE$13,$G139)),$I139,IF(ISNUMBER(FIND(AE$13,$H139)),$J139,""))</f>
        <v>9</v>
      </c>
      <c r="AH139" s="168"/>
      <c r="AI139" s="169"/>
      <c r="AJ139" s="167"/>
      <c r="AK139" s="131"/>
      <c r="AL139" s="168"/>
      <c r="AM139" s="169"/>
      <c r="AN139" s="167"/>
      <c r="AO139" s="131"/>
      <c r="AP139" s="168"/>
      <c r="AQ139" s="169"/>
      <c r="AR139" s="167"/>
      <c r="AS139" s="131"/>
      <c r="AT139" s="168"/>
      <c r="AU139" s="169"/>
      <c r="AV139" s="167"/>
      <c r="AW139" s="131"/>
      <c r="AX139" s="168"/>
      <c r="AY139" s="169"/>
      <c r="AZ139" s="167"/>
      <c r="BA139" s="170">
        <f t="shared" si="82"/>
        <v>14</v>
      </c>
      <c r="BB139" s="168"/>
      <c r="BC139" s="169"/>
      <c r="BD139" s="167"/>
      <c r="BE139" s="131"/>
      <c r="BF139" s="168"/>
    </row>
    <row r="140" spans="2:70" x14ac:dyDescent="0.3">
      <c r="B140" s="754"/>
      <c r="C140" s="564"/>
      <c r="D140" s="729"/>
      <c r="E140" s="603" t="s">
        <v>21</v>
      </c>
      <c r="F140" s="604"/>
      <c r="G140" s="230" t="s">
        <v>3</v>
      </c>
      <c r="H140" s="231" t="s">
        <v>8</v>
      </c>
      <c r="I140" s="228">
        <v>14</v>
      </c>
      <c r="J140" s="232">
        <v>12</v>
      </c>
      <c r="K140" s="166"/>
      <c r="L140" s="167"/>
      <c r="M140" s="131"/>
      <c r="N140" s="168"/>
      <c r="O140" s="169"/>
      <c r="P140" s="167"/>
      <c r="Q140" s="131"/>
      <c r="R140" s="168"/>
      <c r="S140" s="169"/>
      <c r="T140" s="167"/>
      <c r="U140" s="131"/>
      <c r="V140" s="168"/>
      <c r="W140" s="169"/>
      <c r="X140" s="167"/>
      <c r="Y140" s="170">
        <f>IF(ISNUMBER(FIND(W$13,$G140)),$I140,IF(ISNUMBER(FIND(W$13,$H140)),$J140,""))</f>
        <v>14</v>
      </c>
      <c r="Z140" s="168"/>
      <c r="AA140" s="169"/>
      <c r="AB140" s="167"/>
      <c r="AC140" s="131"/>
      <c r="AD140" s="168"/>
      <c r="AE140" s="169"/>
      <c r="AF140" s="167"/>
      <c r="AG140" s="131"/>
      <c r="AH140" s="168"/>
      <c r="AI140" s="169"/>
      <c r="AJ140" s="167"/>
      <c r="AK140" s="131"/>
      <c r="AL140" s="168"/>
      <c r="AM140" s="169"/>
      <c r="AN140" s="167"/>
      <c r="AO140" s="131"/>
      <c r="AP140" s="168"/>
      <c r="AQ140" s="169"/>
      <c r="AR140" s="167"/>
      <c r="AS140" s="170">
        <f>IF(ISNUMBER(FIND(AQ$13,$G140)),$I140,IF(ISNUMBER(FIND(AQ$13,$H140)),$J140,""))</f>
        <v>12</v>
      </c>
      <c r="AT140" s="168"/>
      <c r="AU140" s="169"/>
      <c r="AV140" s="167"/>
      <c r="AW140" s="131"/>
      <c r="AX140" s="168"/>
      <c r="AY140" s="169"/>
      <c r="AZ140" s="167"/>
      <c r="BA140" s="131"/>
      <c r="BB140" s="168"/>
      <c r="BC140" s="169"/>
      <c r="BD140" s="167"/>
      <c r="BE140" s="131"/>
      <c r="BF140" s="168"/>
    </row>
    <row r="141" spans="2:70" x14ac:dyDescent="0.3">
      <c r="B141" s="754"/>
      <c r="C141" s="564"/>
      <c r="D141" s="729"/>
      <c r="E141" s="603" t="s">
        <v>22</v>
      </c>
      <c r="F141" s="604"/>
      <c r="G141" s="230" t="s">
        <v>4</v>
      </c>
      <c r="H141" s="231" t="s">
        <v>11</v>
      </c>
      <c r="I141" s="228">
        <v>14</v>
      </c>
      <c r="J141" s="232">
        <v>3</v>
      </c>
      <c r="K141" s="166"/>
      <c r="L141" s="167"/>
      <c r="M141" s="131"/>
      <c r="N141" s="168"/>
      <c r="O141" s="169"/>
      <c r="P141" s="167"/>
      <c r="Q141" s="131"/>
      <c r="R141" s="168"/>
      <c r="S141" s="169"/>
      <c r="T141" s="167"/>
      <c r="U141" s="131"/>
      <c r="V141" s="168"/>
      <c r="W141" s="169"/>
      <c r="X141" s="167"/>
      <c r="Y141" s="131"/>
      <c r="Z141" s="168"/>
      <c r="AA141" s="169"/>
      <c r="AB141" s="167"/>
      <c r="AC141" s="170">
        <f t="shared" ref="AC141" si="87">IF(ISNUMBER(FIND(AA$13,$G141)),$I141,IF(ISNUMBER(FIND(AA$13,$H141)),$J141,""))</f>
        <v>14</v>
      </c>
      <c r="AD141" s="168"/>
      <c r="AE141" s="169"/>
      <c r="AF141" s="167"/>
      <c r="AG141" s="131"/>
      <c r="AH141" s="168"/>
      <c r="AI141" s="169"/>
      <c r="AJ141" s="167"/>
      <c r="AK141" s="131"/>
      <c r="AL141" s="168"/>
      <c r="AM141" s="169"/>
      <c r="AN141" s="167"/>
      <c r="AO141" s="131"/>
      <c r="AP141" s="168"/>
      <c r="AQ141" s="169"/>
      <c r="AR141" s="167"/>
      <c r="AS141" s="131"/>
      <c r="AT141" s="168"/>
      <c r="AU141" s="169"/>
      <c r="AV141" s="167"/>
      <c r="AW141" s="131"/>
      <c r="AX141" s="168"/>
      <c r="AY141" s="169"/>
      <c r="AZ141" s="167"/>
      <c r="BA141" s="131"/>
      <c r="BB141" s="168"/>
      <c r="BC141" s="169"/>
      <c r="BD141" s="167"/>
      <c r="BE141" s="170">
        <f t="shared" ref="BE141" si="88">IF(ISNUMBER(FIND(BC$13,$G141)),$I141,IF(ISNUMBER(FIND(BC$13,$H141)),$J141,""))</f>
        <v>3</v>
      </c>
      <c r="BF141" s="168"/>
    </row>
    <row r="142" spans="2:70" x14ac:dyDescent="0.3">
      <c r="B142" s="754"/>
      <c r="C142" s="564"/>
      <c r="D142" s="729"/>
      <c r="E142" s="603" t="s">
        <v>23</v>
      </c>
      <c r="F142" s="604"/>
      <c r="G142" s="230" t="s">
        <v>0</v>
      </c>
      <c r="H142" s="231" t="s">
        <v>2</v>
      </c>
      <c r="I142" s="228">
        <v>14</v>
      </c>
      <c r="J142" s="232">
        <v>4</v>
      </c>
      <c r="K142" s="166"/>
      <c r="L142" s="167"/>
      <c r="M142" s="170">
        <f t="shared" ref="M142" si="89">IF(ISNUMBER(FIND(K$13,$G142)),$I142,IF(ISNUMBER(FIND(K$13,$H142)),$J142,""))</f>
        <v>14</v>
      </c>
      <c r="N142" s="168"/>
      <c r="O142" s="169"/>
      <c r="P142" s="167"/>
      <c r="Q142" s="131"/>
      <c r="R142" s="168"/>
      <c r="S142" s="169"/>
      <c r="T142" s="167"/>
      <c r="U142" s="170">
        <f t="shared" ref="U142" si="90">IF(ISNUMBER(FIND(S$13,$G142)),$I142,IF(ISNUMBER(FIND(S$13,$H142)),$J142,""))</f>
        <v>4</v>
      </c>
      <c r="V142" s="168"/>
      <c r="W142" s="169"/>
      <c r="X142" s="167"/>
      <c r="Y142" s="131"/>
      <c r="Z142" s="168"/>
      <c r="AA142" s="169"/>
      <c r="AB142" s="167"/>
      <c r="AC142" s="131"/>
      <c r="AD142" s="168"/>
      <c r="AE142" s="169"/>
      <c r="AF142" s="167"/>
      <c r="AG142" s="131"/>
      <c r="AH142" s="168"/>
      <c r="AI142" s="169"/>
      <c r="AJ142" s="167"/>
      <c r="AK142" s="131"/>
      <c r="AL142" s="168"/>
      <c r="AM142" s="169"/>
      <c r="AN142" s="167"/>
      <c r="AO142" s="131"/>
      <c r="AP142" s="168"/>
      <c r="AQ142" s="169"/>
      <c r="AR142" s="167"/>
      <c r="AS142" s="131"/>
      <c r="AT142" s="168"/>
      <c r="AU142" s="169"/>
      <c r="AV142" s="167"/>
      <c r="AW142" s="131"/>
      <c r="AX142" s="168"/>
      <c r="AY142" s="169"/>
      <c r="AZ142" s="167"/>
      <c r="BA142" s="131"/>
      <c r="BB142" s="168"/>
      <c r="BC142" s="169"/>
      <c r="BD142" s="167"/>
      <c r="BE142" s="131"/>
      <c r="BF142" s="168"/>
    </row>
    <row r="143" spans="2:70" ht="14.5" thickBot="1" x14ac:dyDescent="0.35">
      <c r="B143" s="754"/>
      <c r="C143" s="564"/>
      <c r="D143" s="729"/>
      <c r="E143" s="603" t="s">
        <v>24</v>
      </c>
      <c r="F143" s="604"/>
      <c r="G143" s="233" t="s">
        <v>6</v>
      </c>
      <c r="H143" s="234" t="s">
        <v>7</v>
      </c>
      <c r="I143" s="235">
        <v>4</v>
      </c>
      <c r="J143" s="236">
        <v>14</v>
      </c>
      <c r="K143" s="171"/>
      <c r="L143" s="172"/>
      <c r="M143" s="137"/>
      <c r="N143" s="157"/>
      <c r="O143" s="173"/>
      <c r="P143" s="172"/>
      <c r="Q143" s="137"/>
      <c r="R143" s="157"/>
      <c r="S143" s="173"/>
      <c r="T143" s="172"/>
      <c r="U143" s="137"/>
      <c r="V143" s="157"/>
      <c r="W143" s="173"/>
      <c r="X143" s="172"/>
      <c r="Y143" s="137"/>
      <c r="Z143" s="157"/>
      <c r="AA143" s="173"/>
      <c r="AB143" s="172"/>
      <c r="AC143" s="137"/>
      <c r="AD143" s="157"/>
      <c r="AE143" s="173"/>
      <c r="AF143" s="172"/>
      <c r="AG143" s="137"/>
      <c r="AH143" s="157"/>
      <c r="AI143" s="173"/>
      <c r="AJ143" s="172"/>
      <c r="AK143" s="170">
        <f t="shared" ref="AK143" si="91">IF(ISNUMBER(FIND(AI$13,$G143)),$I143,IF(ISNUMBER(FIND(AI$13,$H143)),$J143,""))</f>
        <v>4</v>
      </c>
      <c r="AL143" s="157"/>
      <c r="AM143" s="173"/>
      <c r="AN143" s="172"/>
      <c r="AO143" s="170">
        <f t="shared" ref="AO143" si="92">IF(ISNUMBER(FIND(AM$13,$G143)),$I143,IF(ISNUMBER(FIND(AM$13,$H143)),$J143,""))</f>
        <v>14</v>
      </c>
      <c r="AP143" s="157"/>
      <c r="AQ143" s="173"/>
      <c r="AR143" s="172"/>
      <c r="AS143" s="137"/>
      <c r="AT143" s="157"/>
      <c r="AU143" s="173"/>
      <c r="AV143" s="172"/>
      <c r="AW143" s="137"/>
      <c r="AX143" s="157"/>
      <c r="AY143" s="173"/>
      <c r="AZ143" s="172"/>
      <c r="BA143" s="137"/>
      <c r="BB143" s="157"/>
      <c r="BC143" s="173"/>
      <c r="BD143" s="172"/>
      <c r="BE143" s="137"/>
      <c r="BF143" s="157"/>
    </row>
    <row r="144" spans="2:70" ht="15" customHeight="1" x14ac:dyDescent="0.3">
      <c r="B144" s="754"/>
      <c r="C144" s="564"/>
      <c r="D144" s="578" t="s">
        <v>245</v>
      </c>
      <c r="E144" s="580" t="s">
        <v>17</v>
      </c>
      <c r="F144" s="581"/>
      <c r="G144" s="237" t="s">
        <v>3</v>
      </c>
      <c r="H144" s="238" t="s">
        <v>6</v>
      </c>
      <c r="I144" s="239">
        <v>57</v>
      </c>
      <c r="J144" s="239">
        <v>53</v>
      </c>
      <c r="K144" s="142"/>
      <c r="L144" s="143"/>
      <c r="M144" s="131"/>
      <c r="N144" s="168"/>
      <c r="O144" s="142"/>
      <c r="P144" s="143"/>
      <c r="Q144" s="131"/>
      <c r="R144" s="168"/>
      <c r="S144" s="142"/>
      <c r="T144" s="143"/>
      <c r="U144" s="131"/>
      <c r="V144" s="168"/>
      <c r="W144" s="142"/>
      <c r="X144" s="143"/>
      <c r="Y144" s="131"/>
      <c r="Z144" s="175">
        <f>IF(ISNUMBER(FIND(W$13,$G144)),$I144,IF(ISNUMBER(FIND(W$13,$H144)),$J144,""))</f>
        <v>57</v>
      </c>
      <c r="AA144" s="142"/>
      <c r="AB144" s="143"/>
      <c r="AC144" s="131"/>
      <c r="AD144" s="168"/>
      <c r="AE144" s="142"/>
      <c r="AF144" s="143"/>
      <c r="AG144" s="131"/>
      <c r="AH144" s="168"/>
      <c r="AI144" s="142"/>
      <c r="AJ144" s="143"/>
      <c r="AK144" s="143"/>
      <c r="AL144" s="175">
        <f>IF(ISNUMBER(FIND(AI$13,$G144)),$I144,IF(ISNUMBER(FIND(AI$13,$H144)),$J144,""))</f>
        <v>53</v>
      </c>
      <c r="AM144" s="142"/>
      <c r="AN144" s="143"/>
      <c r="AO144" s="143"/>
      <c r="AP144" s="168"/>
      <c r="AQ144" s="142"/>
      <c r="AR144" s="143"/>
      <c r="AS144" s="131"/>
      <c r="AT144" s="168"/>
      <c r="AU144" s="142"/>
      <c r="AV144" s="143"/>
      <c r="AW144" s="131"/>
      <c r="AX144" s="168"/>
      <c r="AY144" s="142"/>
      <c r="AZ144" s="143"/>
      <c r="BA144" s="131"/>
      <c r="BB144" s="168"/>
      <c r="BC144" s="142"/>
      <c r="BD144" s="143"/>
      <c r="BE144" s="143"/>
      <c r="BF144" s="163"/>
      <c r="BH144">
        <v>9</v>
      </c>
      <c r="BI144" t="s">
        <v>35</v>
      </c>
      <c r="BL144" t="s">
        <v>40</v>
      </c>
      <c r="BN144" t="s">
        <v>50</v>
      </c>
      <c r="BP144" s="8" t="s">
        <v>58</v>
      </c>
      <c r="BR144" t="s">
        <v>65</v>
      </c>
    </row>
    <row r="145" spans="2:70" x14ac:dyDescent="0.3">
      <c r="B145" s="754"/>
      <c r="C145" s="564"/>
      <c r="D145" s="579"/>
      <c r="E145" s="582" t="s">
        <v>18</v>
      </c>
      <c r="F145" s="583"/>
      <c r="G145" s="240" t="s">
        <v>4</v>
      </c>
      <c r="H145" s="241" t="s">
        <v>8</v>
      </c>
      <c r="I145" s="242">
        <v>55</v>
      </c>
      <c r="J145" s="242">
        <v>56</v>
      </c>
      <c r="K145" s="130"/>
      <c r="L145" s="131"/>
      <c r="M145" s="131"/>
      <c r="N145" s="168"/>
      <c r="O145" s="130"/>
      <c r="P145" s="131"/>
      <c r="Q145" s="131"/>
      <c r="R145" s="168"/>
      <c r="S145" s="130"/>
      <c r="T145" s="131"/>
      <c r="U145" s="131"/>
      <c r="V145" s="168"/>
      <c r="W145" s="130"/>
      <c r="X145" s="131"/>
      <c r="Y145" s="131"/>
      <c r="Z145" s="168"/>
      <c r="AA145" s="130"/>
      <c r="AB145" s="131"/>
      <c r="AC145" s="131"/>
      <c r="AD145" s="175">
        <f t="shared" ref="AD145" si="93">IF(ISNUMBER(FIND(AA$13,$G145)),$I145,IF(ISNUMBER(FIND(AA$13,$H145)),$J145,""))</f>
        <v>55</v>
      </c>
      <c r="AE145" s="130"/>
      <c r="AF145" s="131"/>
      <c r="AG145" s="131"/>
      <c r="AH145" s="168"/>
      <c r="AI145" s="130"/>
      <c r="AJ145" s="131"/>
      <c r="AK145" s="131"/>
      <c r="AL145" s="168"/>
      <c r="AM145" s="130"/>
      <c r="AN145" s="131"/>
      <c r="AO145" s="131"/>
      <c r="AP145" s="168"/>
      <c r="AQ145" s="130"/>
      <c r="AR145" s="131"/>
      <c r="AS145" s="131"/>
      <c r="AT145" s="175">
        <f t="shared" ref="AT145:AT147" si="94">IF(ISNUMBER(FIND(AQ$13,$G145)),$I145,IF(ISNUMBER(FIND(AQ$13,$H145)),$J145,""))</f>
        <v>56</v>
      </c>
      <c r="AU145" s="130"/>
      <c r="AV145" s="131"/>
      <c r="AW145" s="131"/>
      <c r="AX145" s="168"/>
      <c r="AY145" s="130"/>
      <c r="AZ145" s="131"/>
      <c r="BA145" s="131"/>
      <c r="BB145" s="168"/>
      <c r="BC145" s="130"/>
      <c r="BD145" s="131"/>
      <c r="BE145" s="131"/>
      <c r="BF145" s="168"/>
      <c r="BH145">
        <v>4</v>
      </c>
      <c r="BI145" t="s">
        <v>30</v>
      </c>
      <c r="BL145" t="s">
        <v>41</v>
      </c>
      <c r="BN145" t="s">
        <v>51</v>
      </c>
      <c r="BP145" t="s">
        <v>59</v>
      </c>
      <c r="BR145" t="s">
        <v>66</v>
      </c>
    </row>
    <row r="146" spans="2:70" x14ac:dyDescent="0.3">
      <c r="B146" s="754"/>
      <c r="C146" s="564"/>
      <c r="D146" s="579"/>
      <c r="E146" s="582" t="s">
        <v>19</v>
      </c>
      <c r="F146" s="583"/>
      <c r="G146" s="240" t="s">
        <v>0</v>
      </c>
      <c r="H146" s="241" t="s">
        <v>5</v>
      </c>
      <c r="I146" s="242">
        <v>71</v>
      </c>
      <c r="J146" s="242">
        <v>54</v>
      </c>
      <c r="K146" s="130"/>
      <c r="L146" s="131"/>
      <c r="M146" s="131"/>
      <c r="N146" s="175">
        <f t="shared" ref="N146" si="95">IF(ISNUMBER(FIND(K$13,$G146)),$I146,IF(ISNUMBER(FIND(K$13,$H146)),$J146,""))</f>
        <v>71</v>
      </c>
      <c r="O146" s="130"/>
      <c r="P146" s="131"/>
      <c r="Q146" s="131"/>
      <c r="R146" s="168"/>
      <c r="S146" s="130"/>
      <c r="T146" s="131"/>
      <c r="U146" s="131"/>
      <c r="V146" s="168"/>
      <c r="W146" s="130"/>
      <c r="X146" s="131"/>
      <c r="Y146" s="131"/>
      <c r="Z146" s="168"/>
      <c r="AA146" s="130"/>
      <c r="AB146" s="131"/>
      <c r="AC146" s="131"/>
      <c r="AD146" s="168"/>
      <c r="AE146" s="130"/>
      <c r="AF146" s="131"/>
      <c r="AG146" s="131"/>
      <c r="AH146" s="175">
        <f t="shared" ref="AH146:AH151" si="96">IF(ISNUMBER(FIND(AE$13,$G146)),$I146,IF(ISNUMBER(FIND(AE$13,$H146)),$J146,""))</f>
        <v>54</v>
      </c>
      <c r="AI146" s="130"/>
      <c r="AJ146" s="131"/>
      <c r="AK146" s="131"/>
      <c r="AL146" s="168"/>
      <c r="AM146" s="130"/>
      <c r="AN146" s="131"/>
      <c r="AO146" s="131"/>
      <c r="AP146" s="168"/>
      <c r="AQ146" s="130"/>
      <c r="AR146" s="131"/>
      <c r="AS146" s="131"/>
      <c r="AT146" s="168"/>
      <c r="AU146" s="130"/>
      <c r="AV146" s="131"/>
      <c r="AW146" s="131"/>
      <c r="AX146" s="168"/>
      <c r="AY146" s="130"/>
      <c r="AZ146" s="131"/>
      <c r="BA146" s="131"/>
      <c r="BB146" s="168"/>
      <c r="BC146" s="130"/>
      <c r="BD146" s="131"/>
      <c r="BE146" s="131"/>
      <c r="BF146" s="168"/>
      <c r="BH146">
        <f>BH144*BH145</f>
        <v>36</v>
      </c>
      <c r="BI146" t="s">
        <v>32</v>
      </c>
      <c r="BL146" t="s">
        <v>42</v>
      </c>
      <c r="BN146" t="s">
        <v>55</v>
      </c>
      <c r="BP146" t="s">
        <v>60</v>
      </c>
      <c r="BR146" t="s">
        <v>67</v>
      </c>
    </row>
    <row r="147" spans="2:70" x14ac:dyDescent="0.3">
      <c r="B147" s="754"/>
      <c r="C147" s="564"/>
      <c r="D147" s="579"/>
      <c r="E147" s="582" t="s">
        <v>20</v>
      </c>
      <c r="F147" s="583"/>
      <c r="G147" s="240" t="s">
        <v>1</v>
      </c>
      <c r="H147" s="241" t="s">
        <v>8</v>
      </c>
      <c r="I147" s="242">
        <v>27</v>
      </c>
      <c r="J147" s="242">
        <v>56</v>
      </c>
      <c r="K147" s="130"/>
      <c r="L147" s="131"/>
      <c r="M147" s="131"/>
      <c r="N147" s="168"/>
      <c r="O147" s="130"/>
      <c r="P147" s="131"/>
      <c r="Q147" s="131"/>
      <c r="R147" s="175">
        <f t="shared" ref="R147" si="97">IF(ISNUMBER(FIND(O$13,$G147)),$I147,IF(ISNUMBER(FIND(O$13,$H147)),$J147,""))</f>
        <v>27</v>
      </c>
      <c r="S147" s="130"/>
      <c r="T147" s="131"/>
      <c r="U147" s="131"/>
      <c r="V147" s="168"/>
      <c r="W147" s="130"/>
      <c r="X147" s="131"/>
      <c r="Y147" s="131"/>
      <c r="Z147" s="168"/>
      <c r="AA147" s="130"/>
      <c r="AB147" s="131"/>
      <c r="AC147" s="131"/>
      <c r="AD147" s="168"/>
      <c r="AE147" s="130"/>
      <c r="AF147" s="131"/>
      <c r="AG147" s="131"/>
      <c r="AH147" s="168"/>
      <c r="AI147" s="130"/>
      <c r="AJ147" s="131"/>
      <c r="AK147" s="131"/>
      <c r="AL147" s="168"/>
      <c r="AM147" s="130"/>
      <c r="AN147" s="131"/>
      <c r="AO147" s="131"/>
      <c r="AP147" s="168"/>
      <c r="AQ147" s="130"/>
      <c r="AR147" s="131"/>
      <c r="AS147" s="131"/>
      <c r="AT147" s="175">
        <f t="shared" si="94"/>
        <v>56</v>
      </c>
      <c r="AU147" s="130"/>
      <c r="AV147" s="131"/>
      <c r="AW147" s="131"/>
      <c r="AX147" s="168"/>
      <c r="AY147" s="130"/>
      <c r="AZ147" s="131"/>
      <c r="BA147" s="131"/>
      <c r="BB147" s="168"/>
      <c r="BC147" s="130"/>
      <c r="BD147" s="131"/>
      <c r="BE147" s="131"/>
      <c r="BF147" s="168"/>
    </row>
    <row r="148" spans="2:70" x14ac:dyDescent="0.3">
      <c r="B148" s="754"/>
      <c r="C148" s="564"/>
      <c r="D148" s="579"/>
      <c r="E148" s="582" t="s">
        <v>21</v>
      </c>
      <c r="F148" s="583"/>
      <c r="G148" s="240" t="s">
        <v>2</v>
      </c>
      <c r="H148" s="241" t="s">
        <v>9</v>
      </c>
      <c r="I148" s="242">
        <v>33</v>
      </c>
      <c r="J148" s="242">
        <v>27</v>
      </c>
      <c r="K148" s="130"/>
      <c r="L148" s="131"/>
      <c r="M148" s="131"/>
      <c r="N148" s="168"/>
      <c r="O148" s="130"/>
      <c r="P148" s="131"/>
      <c r="Q148" s="131"/>
      <c r="R148" s="168"/>
      <c r="S148" s="130"/>
      <c r="T148" s="131"/>
      <c r="U148" s="131"/>
      <c r="V148" s="175">
        <f t="shared" ref="V148" si="98">IF(ISNUMBER(FIND(S$13,$G148)),$I148,IF(ISNUMBER(FIND(S$13,$H148)),$J148,""))</f>
        <v>33</v>
      </c>
      <c r="W148" s="130"/>
      <c r="X148" s="131"/>
      <c r="Y148" s="131"/>
      <c r="Z148" s="168"/>
      <c r="AA148" s="130"/>
      <c r="AB148" s="131"/>
      <c r="AC148" s="131"/>
      <c r="AD148" s="168"/>
      <c r="AE148" s="130"/>
      <c r="AF148" s="131"/>
      <c r="AG148" s="131"/>
      <c r="AH148" s="168"/>
      <c r="AI148" s="130"/>
      <c r="AJ148" s="131"/>
      <c r="AK148" s="131"/>
      <c r="AL148" s="168"/>
      <c r="AM148" s="130"/>
      <c r="AN148" s="131"/>
      <c r="AO148" s="131"/>
      <c r="AP148" s="168"/>
      <c r="AQ148" s="130"/>
      <c r="AR148" s="131"/>
      <c r="AS148" s="131"/>
      <c r="AT148" s="168"/>
      <c r="AU148" s="130"/>
      <c r="AV148" s="131"/>
      <c r="AW148" s="131"/>
      <c r="AX148" s="175">
        <f t="shared" ref="AX148" si="99">IF(ISNUMBER(FIND(AU$13,$G148)),$I148,IF(ISNUMBER(FIND(AU$13,$H148)),$J148,""))</f>
        <v>27</v>
      </c>
      <c r="AY148" s="130"/>
      <c r="AZ148" s="131"/>
      <c r="BA148" s="131"/>
      <c r="BB148" s="168"/>
      <c r="BC148" s="130"/>
      <c r="BD148" s="131"/>
      <c r="BE148" s="131"/>
      <c r="BF148" s="168"/>
    </row>
    <row r="149" spans="2:70" x14ac:dyDescent="0.3">
      <c r="B149" s="754"/>
      <c r="C149" s="564"/>
      <c r="D149" s="579"/>
      <c r="E149" s="582" t="s">
        <v>22</v>
      </c>
      <c r="F149" s="583"/>
      <c r="G149" s="240" t="s">
        <v>3</v>
      </c>
      <c r="H149" s="241" t="s">
        <v>10</v>
      </c>
      <c r="I149" s="242">
        <v>60</v>
      </c>
      <c r="J149" s="242">
        <v>58</v>
      </c>
      <c r="K149" s="130"/>
      <c r="L149" s="131"/>
      <c r="M149" s="131"/>
      <c r="N149" s="168"/>
      <c r="O149" s="130"/>
      <c r="P149" s="131"/>
      <c r="Q149" s="131"/>
      <c r="R149" s="168"/>
      <c r="S149" s="130"/>
      <c r="T149" s="131"/>
      <c r="U149" s="131"/>
      <c r="V149" s="168"/>
      <c r="W149" s="130"/>
      <c r="X149" s="131"/>
      <c r="Y149" s="131"/>
      <c r="Z149" s="175">
        <f t="shared" ref="Z149" si="100">IF(ISNUMBER(FIND(W$13,$G149)),$I149,IF(ISNUMBER(FIND(W$13,$H149)),$J149,""))</f>
        <v>60</v>
      </c>
      <c r="AA149" s="130"/>
      <c r="AB149" s="131"/>
      <c r="AC149" s="131"/>
      <c r="AD149" s="168"/>
      <c r="AE149" s="130"/>
      <c r="AF149" s="131"/>
      <c r="AG149" s="131"/>
      <c r="AH149" s="168"/>
      <c r="AI149" s="130"/>
      <c r="AJ149" s="131"/>
      <c r="AK149" s="131"/>
      <c r="AL149" s="168"/>
      <c r="AM149" s="130"/>
      <c r="AN149" s="131"/>
      <c r="AO149" s="131"/>
      <c r="AP149" s="168"/>
      <c r="AQ149" s="130"/>
      <c r="AR149" s="131"/>
      <c r="AS149" s="131"/>
      <c r="AT149" s="168"/>
      <c r="AU149" s="130"/>
      <c r="AV149" s="131"/>
      <c r="AW149" s="131"/>
      <c r="AX149" s="168"/>
      <c r="AY149" s="130"/>
      <c r="AZ149" s="131"/>
      <c r="BA149" s="131"/>
      <c r="BB149" s="175">
        <f t="shared" ref="BB149" si="101">IF(ISNUMBER(FIND(AY$13,$G149)),$I149,IF(ISNUMBER(FIND(AY$13,$H149)),$J149,""))</f>
        <v>58</v>
      </c>
      <c r="BC149" s="130"/>
      <c r="BD149" s="131"/>
      <c r="BE149" s="131"/>
      <c r="BF149" s="168"/>
    </row>
    <row r="150" spans="2:70" x14ac:dyDescent="0.3">
      <c r="B150" s="754"/>
      <c r="C150" s="564"/>
      <c r="D150" s="579"/>
      <c r="E150" s="582" t="s">
        <v>23</v>
      </c>
      <c r="F150" s="583"/>
      <c r="G150" s="240" t="s">
        <v>6</v>
      </c>
      <c r="H150" s="241" t="s">
        <v>7</v>
      </c>
      <c r="I150" s="242">
        <v>33</v>
      </c>
      <c r="J150" s="242">
        <v>48</v>
      </c>
      <c r="K150" s="130"/>
      <c r="L150" s="131"/>
      <c r="M150" s="131"/>
      <c r="N150" s="168"/>
      <c r="O150" s="130"/>
      <c r="P150" s="131"/>
      <c r="Q150" s="131"/>
      <c r="R150" s="168"/>
      <c r="S150" s="130"/>
      <c r="T150" s="131"/>
      <c r="U150" s="131"/>
      <c r="V150" s="168"/>
      <c r="W150" s="130"/>
      <c r="X150" s="131"/>
      <c r="Y150" s="131"/>
      <c r="Z150" s="168"/>
      <c r="AA150" s="130"/>
      <c r="AB150" s="131"/>
      <c r="AC150" s="131"/>
      <c r="AD150" s="168"/>
      <c r="AE150" s="130"/>
      <c r="AF150" s="131"/>
      <c r="AG150" s="131"/>
      <c r="AH150" s="168"/>
      <c r="AI150" s="130"/>
      <c r="AJ150" s="131"/>
      <c r="AK150" s="131"/>
      <c r="AL150" s="175">
        <f t="shared" ref="AL150" si="102">IF(ISNUMBER(FIND(AI$13,$G150)),$I150,IF(ISNUMBER(FIND(AI$13,$H150)),$J150,""))</f>
        <v>33</v>
      </c>
      <c r="AM150" s="130"/>
      <c r="AN150" s="131"/>
      <c r="AO150" s="131"/>
      <c r="AP150" s="175">
        <f t="shared" ref="AP150" si="103">IF(ISNUMBER(FIND(AM$13,$G150)),$I150,IF(ISNUMBER(FIND(AM$13,$H150)),$J150,""))</f>
        <v>48</v>
      </c>
      <c r="AQ150" s="130"/>
      <c r="AR150" s="131"/>
      <c r="AS150" s="131"/>
      <c r="AT150" s="168"/>
      <c r="AU150" s="130"/>
      <c r="AV150" s="131"/>
      <c r="AW150" s="131"/>
      <c r="AX150" s="168"/>
      <c r="AY150" s="130"/>
      <c r="AZ150" s="131"/>
      <c r="BA150" s="131"/>
      <c r="BB150" s="168"/>
      <c r="BC150" s="130"/>
      <c r="BD150" s="131"/>
      <c r="BE150" s="131"/>
      <c r="BF150" s="168"/>
    </row>
    <row r="151" spans="2:70" ht="14.5" thickBot="1" x14ac:dyDescent="0.35">
      <c r="B151" s="754"/>
      <c r="C151" s="564"/>
      <c r="D151" s="579"/>
      <c r="E151" s="582" t="s">
        <v>24</v>
      </c>
      <c r="F151" s="583"/>
      <c r="G151" s="243" t="s">
        <v>5</v>
      </c>
      <c r="H151" s="244" t="s">
        <v>11</v>
      </c>
      <c r="I151" s="245">
        <v>62</v>
      </c>
      <c r="J151" s="245">
        <v>50</v>
      </c>
      <c r="K151" s="136"/>
      <c r="L151" s="137"/>
      <c r="M151" s="137"/>
      <c r="N151" s="184"/>
      <c r="O151" s="136"/>
      <c r="P151" s="137"/>
      <c r="Q151" s="137"/>
      <c r="R151" s="184"/>
      <c r="S151" s="136"/>
      <c r="T151" s="137"/>
      <c r="U151" s="137"/>
      <c r="V151" s="184"/>
      <c r="W151" s="136"/>
      <c r="X151" s="137"/>
      <c r="Y151" s="137"/>
      <c r="Z151" s="184"/>
      <c r="AA151" s="136"/>
      <c r="AB151" s="137"/>
      <c r="AC151" s="137"/>
      <c r="AD151" s="184"/>
      <c r="AE151" s="136"/>
      <c r="AF151" s="137"/>
      <c r="AG151" s="137"/>
      <c r="AH151" s="183">
        <f t="shared" si="96"/>
        <v>62</v>
      </c>
      <c r="AI151" s="136"/>
      <c r="AJ151" s="137"/>
      <c r="AK151" s="137"/>
      <c r="AL151" s="184"/>
      <c r="AM151" s="136"/>
      <c r="AN151" s="137"/>
      <c r="AO151" s="137"/>
      <c r="AP151" s="184"/>
      <c r="AQ151" s="136"/>
      <c r="AR151" s="137"/>
      <c r="AS151" s="137"/>
      <c r="AT151" s="184"/>
      <c r="AU151" s="136"/>
      <c r="AV151" s="137"/>
      <c r="AW151" s="137"/>
      <c r="AX151" s="184"/>
      <c r="AY151" s="136"/>
      <c r="AZ151" s="137"/>
      <c r="BA151" s="137"/>
      <c r="BB151" s="184"/>
      <c r="BC151" s="136"/>
      <c r="BD151" s="137"/>
      <c r="BE151" s="137"/>
      <c r="BF151" s="183">
        <f t="shared" ref="BF151" si="104">IF(ISNUMBER(FIND(BC$13,$G151)),$I151,IF(ISNUMBER(FIND(BC$13,$H151)),$J151,""))</f>
        <v>50</v>
      </c>
    </row>
    <row r="152" spans="2:70" x14ac:dyDescent="0.3">
      <c r="B152" s="754"/>
      <c r="C152" s="564"/>
      <c r="D152" s="578" t="s">
        <v>298</v>
      </c>
      <c r="E152" s="580" t="s">
        <v>17</v>
      </c>
      <c r="F152" s="581"/>
      <c r="G152" s="237" t="s">
        <v>3</v>
      </c>
      <c r="H152" s="238" t="s">
        <v>6</v>
      </c>
      <c r="I152" s="201">
        <f>I144/MAX($I144:$J144)*14</f>
        <v>14</v>
      </c>
      <c r="J152" s="202">
        <f t="shared" ref="J152:J159" si="105">J144/MAX($I144:$J144)*14</f>
        <v>13.017543859649123</v>
      </c>
      <c r="K152" s="142"/>
      <c r="L152" s="143"/>
      <c r="M152" s="131"/>
      <c r="N152" s="168"/>
      <c r="O152" s="142"/>
      <c r="P152" s="143"/>
      <c r="Q152" s="131"/>
      <c r="R152" s="168"/>
      <c r="S152" s="142"/>
      <c r="T152" s="143"/>
      <c r="U152" s="131"/>
      <c r="V152" s="168"/>
      <c r="W152" s="142"/>
      <c r="X152" s="143"/>
      <c r="Y152" s="131"/>
      <c r="Z152" s="175">
        <f>Z144/MAX($K144:$BE144)*14</f>
        <v>14</v>
      </c>
      <c r="AA152" s="142"/>
      <c r="AB152" s="143"/>
      <c r="AC152" s="131"/>
      <c r="AD152" s="168"/>
      <c r="AE152" s="142"/>
      <c r="AF152" s="143"/>
      <c r="AG152" s="131"/>
      <c r="AH152" s="168"/>
      <c r="AI152" s="142"/>
      <c r="AJ152" s="143"/>
      <c r="AK152" s="143"/>
      <c r="AL152" s="175">
        <f>AL144/MAX($K144:$BE144)*14</f>
        <v>13.017543859649123</v>
      </c>
      <c r="AM152" s="142"/>
      <c r="AN152" s="143"/>
      <c r="AO152" s="143"/>
      <c r="AP152" s="168"/>
      <c r="AQ152" s="142"/>
      <c r="AR152" s="143"/>
      <c r="AS152" s="131"/>
      <c r="AT152" s="168"/>
      <c r="AU152" s="142"/>
      <c r="AV152" s="143"/>
      <c r="AW152" s="131"/>
      <c r="AX152" s="168"/>
      <c r="AY152" s="142"/>
      <c r="AZ152" s="143"/>
      <c r="BA152" s="131"/>
      <c r="BB152" s="168"/>
      <c r="BC152" s="142"/>
      <c r="BD152" s="143"/>
      <c r="BE152" s="143"/>
      <c r="BF152" s="163"/>
    </row>
    <row r="153" spans="2:70" x14ac:dyDescent="0.3">
      <c r="B153" s="754"/>
      <c r="C153" s="564"/>
      <c r="D153" s="579"/>
      <c r="E153" s="582" t="s">
        <v>18</v>
      </c>
      <c r="F153" s="583"/>
      <c r="G153" s="240" t="s">
        <v>4</v>
      </c>
      <c r="H153" s="241" t="s">
        <v>8</v>
      </c>
      <c r="I153" s="203">
        <f t="shared" ref="I153" si="106">I145/MAX($I145:$J145)*14</f>
        <v>13.75</v>
      </c>
      <c r="J153" s="204">
        <f t="shared" si="105"/>
        <v>14</v>
      </c>
      <c r="K153" s="130"/>
      <c r="L153" s="131"/>
      <c r="M153" s="131"/>
      <c r="N153" s="168"/>
      <c r="O153" s="130"/>
      <c r="P153" s="131"/>
      <c r="Q153" s="131"/>
      <c r="R153" s="168"/>
      <c r="S153" s="130"/>
      <c r="T153" s="131"/>
      <c r="U153" s="131"/>
      <c r="V153" s="168"/>
      <c r="W153" s="130"/>
      <c r="X153" s="131"/>
      <c r="Y153" s="131"/>
      <c r="Z153" s="168"/>
      <c r="AA153" s="130"/>
      <c r="AB153" s="131"/>
      <c r="AC153" s="131"/>
      <c r="AD153" s="175">
        <f>AD145/MAX($K145:$BE145)*14</f>
        <v>13.75</v>
      </c>
      <c r="AE153" s="130"/>
      <c r="AF153" s="131"/>
      <c r="AG153" s="131"/>
      <c r="AH153" s="168"/>
      <c r="AI153" s="130"/>
      <c r="AJ153" s="131"/>
      <c r="AK153" s="131"/>
      <c r="AL153" s="168"/>
      <c r="AM153" s="130"/>
      <c r="AN153" s="131"/>
      <c r="AO153" s="131"/>
      <c r="AP153" s="168"/>
      <c r="AQ153" s="130"/>
      <c r="AR153" s="131"/>
      <c r="AS153" s="131"/>
      <c r="AT153" s="175">
        <f>AT145/MAX($K145:$BE145)*14</f>
        <v>14</v>
      </c>
      <c r="AU153" s="130"/>
      <c r="AV153" s="131"/>
      <c r="AW153" s="131"/>
      <c r="AX153" s="168"/>
      <c r="AY153" s="130"/>
      <c r="AZ153" s="131"/>
      <c r="BA153" s="131"/>
      <c r="BB153" s="168"/>
      <c r="BC153" s="130"/>
      <c r="BD153" s="131"/>
      <c r="BE153" s="131"/>
      <c r="BF153" s="168"/>
    </row>
    <row r="154" spans="2:70" x14ac:dyDescent="0.3">
      <c r="B154" s="754"/>
      <c r="C154" s="564"/>
      <c r="D154" s="579"/>
      <c r="E154" s="582" t="s">
        <v>19</v>
      </c>
      <c r="F154" s="583"/>
      <c r="G154" s="240" t="s">
        <v>0</v>
      </c>
      <c r="H154" s="241" t="s">
        <v>5</v>
      </c>
      <c r="I154" s="203">
        <f t="shared" ref="I154" si="107">I146/MAX($I146:$J146)*14</f>
        <v>14</v>
      </c>
      <c r="J154" s="204">
        <f t="shared" si="105"/>
        <v>10.647887323943662</v>
      </c>
      <c r="K154" s="130"/>
      <c r="L154" s="131"/>
      <c r="M154" s="131"/>
      <c r="N154" s="175">
        <f>N146/MAX($K146:$BE146)*14</f>
        <v>14</v>
      </c>
      <c r="O154" s="130"/>
      <c r="P154" s="131"/>
      <c r="Q154" s="131"/>
      <c r="R154" s="168"/>
      <c r="S154" s="130"/>
      <c r="T154" s="131"/>
      <c r="U154" s="131"/>
      <c r="V154" s="168"/>
      <c r="W154" s="130"/>
      <c r="X154" s="131"/>
      <c r="Y154" s="131"/>
      <c r="Z154" s="168"/>
      <c r="AA154" s="130"/>
      <c r="AB154" s="131"/>
      <c r="AC154" s="131"/>
      <c r="AD154" s="168"/>
      <c r="AE154" s="130"/>
      <c r="AF154" s="131"/>
      <c r="AG154" s="131"/>
      <c r="AH154" s="175">
        <f>AH146/MAX($K146:$BE146)*14</f>
        <v>10.647887323943662</v>
      </c>
      <c r="AI154" s="130"/>
      <c r="AJ154" s="131"/>
      <c r="AK154" s="131"/>
      <c r="AL154" s="168"/>
      <c r="AM154" s="130"/>
      <c r="AN154" s="131"/>
      <c r="AO154" s="131"/>
      <c r="AP154" s="168"/>
      <c r="AQ154" s="130"/>
      <c r="AR154" s="131"/>
      <c r="AS154" s="131"/>
      <c r="AT154" s="168"/>
      <c r="AU154" s="130"/>
      <c r="AV154" s="131"/>
      <c r="AW154" s="131"/>
      <c r="AX154" s="168"/>
      <c r="AY154" s="130"/>
      <c r="AZ154" s="131"/>
      <c r="BA154" s="131"/>
      <c r="BB154" s="168"/>
      <c r="BC154" s="130"/>
      <c r="BD154" s="131"/>
      <c r="BE154" s="131"/>
      <c r="BF154" s="168"/>
    </row>
    <row r="155" spans="2:70" x14ac:dyDescent="0.3">
      <c r="B155" s="754"/>
      <c r="C155" s="564"/>
      <c r="D155" s="579"/>
      <c r="E155" s="582" t="s">
        <v>20</v>
      </c>
      <c r="F155" s="583"/>
      <c r="G155" s="240" t="s">
        <v>1</v>
      </c>
      <c r="H155" s="241" t="s">
        <v>8</v>
      </c>
      <c r="I155" s="203">
        <f t="shared" ref="I155" si="108">I147/MAX($I147:$J147)*14</f>
        <v>6.75</v>
      </c>
      <c r="J155" s="204">
        <f t="shared" si="105"/>
        <v>14</v>
      </c>
      <c r="K155" s="130"/>
      <c r="L155" s="131"/>
      <c r="M155" s="131"/>
      <c r="N155" s="168"/>
      <c r="O155" s="130"/>
      <c r="P155" s="131"/>
      <c r="Q155" s="131"/>
      <c r="R155" s="175">
        <f>R147/MAX($K147:$BF147)*14</f>
        <v>6.75</v>
      </c>
      <c r="S155" s="130"/>
      <c r="T155" s="131"/>
      <c r="U155" s="131"/>
      <c r="V155" s="168"/>
      <c r="W155" s="130"/>
      <c r="X155" s="131"/>
      <c r="Y155" s="131"/>
      <c r="Z155" s="168"/>
      <c r="AA155" s="130"/>
      <c r="AB155" s="131"/>
      <c r="AC155" s="131"/>
      <c r="AD155" s="168"/>
      <c r="AE155" s="130"/>
      <c r="AF155" s="131"/>
      <c r="AG155" s="131"/>
      <c r="AH155" s="168"/>
      <c r="AI155" s="130"/>
      <c r="AJ155" s="131"/>
      <c r="AK155" s="131"/>
      <c r="AL155" s="168"/>
      <c r="AM155" s="130"/>
      <c r="AN155" s="131"/>
      <c r="AO155" s="131"/>
      <c r="AP155" s="168"/>
      <c r="AQ155" s="130"/>
      <c r="AR155" s="131"/>
      <c r="AS155" s="131"/>
      <c r="AT155" s="175">
        <f>AT147/MAX($K147:$BE147)*14</f>
        <v>14</v>
      </c>
      <c r="AU155" s="130"/>
      <c r="AV155" s="131"/>
      <c r="AW155" s="131"/>
      <c r="AX155" s="168"/>
      <c r="AY155" s="130"/>
      <c r="AZ155" s="131"/>
      <c r="BA155" s="131"/>
      <c r="BB155" s="168"/>
      <c r="BC155" s="130"/>
      <c r="BD155" s="131"/>
      <c r="BE155" s="131"/>
      <c r="BF155" s="168"/>
    </row>
    <row r="156" spans="2:70" x14ac:dyDescent="0.3">
      <c r="B156" s="754"/>
      <c r="C156" s="564"/>
      <c r="D156" s="579"/>
      <c r="E156" s="582" t="s">
        <v>21</v>
      </c>
      <c r="F156" s="583"/>
      <c r="G156" s="240" t="s">
        <v>2</v>
      </c>
      <c r="H156" s="241" t="s">
        <v>9</v>
      </c>
      <c r="I156" s="203">
        <f t="shared" ref="I156" si="109">I148/MAX($I148:$J148)*14</f>
        <v>14</v>
      </c>
      <c r="J156" s="204">
        <f t="shared" si="105"/>
        <v>11.454545454545455</v>
      </c>
      <c r="K156" s="130"/>
      <c r="L156" s="131"/>
      <c r="M156" s="131"/>
      <c r="N156" s="168"/>
      <c r="O156" s="130"/>
      <c r="P156" s="131"/>
      <c r="Q156" s="131"/>
      <c r="R156" s="168"/>
      <c r="S156" s="130"/>
      <c r="T156" s="131"/>
      <c r="U156" s="131"/>
      <c r="V156" s="175">
        <f>V148/MAX($K148:$BE148)*14</f>
        <v>14</v>
      </c>
      <c r="W156" s="130"/>
      <c r="X156" s="131"/>
      <c r="Y156" s="131"/>
      <c r="Z156" s="168"/>
      <c r="AA156" s="130"/>
      <c r="AB156" s="131"/>
      <c r="AC156" s="131"/>
      <c r="AD156" s="168"/>
      <c r="AE156" s="130"/>
      <c r="AF156" s="131"/>
      <c r="AG156" s="131"/>
      <c r="AH156" s="168"/>
      <c r="AI156" s="130"/>
      <c r="AJ156" s="131"/>
      <c r="AK156" s="131"/>
      <c r="AL156" s="168"/>
      <c r="AM156" s="130"/>
      <c r="AN156" s="131"/>
      <c r="AO156" s="131"/>
      <c r="AP156" s="168"/>
      <c r="AQ156" s="130"/>
      <c r="AR156" s="131"/>
      <c r="AS156" s="131"/>
      <c r="AT156" s="168"/>
      <c r="AU156" s="130"/>
      <c r="AV156" s="131"/>
      <c r="AW156" s="131"/>
      <c r="AX156" s="175">
        <f>AX148/MAX($K148:$BE148)*14</f>
        <v>11.454545454545455</v>
      </c>
      <c r="AY156" s="130"/>
      <c r="AZ156" s="131"/>
      <c r="BA156" s="131"/>
      <c r="BB156" s="168"/>
      <c r="BC156" s="130"/>
      <c r="BD156" s="131"/>
      <c r="BE156" s="131"/>
      <c r="BF156" s="168"/>
    </row>
    <row r="157" spans="2:70" x14ac:dyDescent="0.3">
      <c r="B157" s="754"/>
      <c r="C157" s="564"/>
      <c r="D157" s="579"/>
      <c r="E157" s="582" t="s">
        <v>22</v>
      </c>
      <c r="F157" s="583"/>
      <c r="G157" s="240" t="s">
        <v>3</v>
      </c>
      <c r="H157" s="241" t="s">
        <v>10</v>
      </c>
      <c r="I157" s="203">
        <f t="shared" ref="I157" si="110">I149/MAX($I149:$J149)*14</f>
        <v>14</v>
      </c>
      <c r="J157" s="204">
        <f t="shared" si="105"/>
        <v>13.533333333333333</v>
      </c>
      <c r="K157" s="130"/>
      <c r="L157" s="131"/>
      <c r="M157" s="131"/>
      <c r="N157" s="168"/>
      <c r="O157" s="130"/>
      <c r="P157" s="131"/>
      <c r="Q157" s="131"/>
      <c r="R157" s="168"/>
      <c r="S157" s="130"/>
      <c r="T157" s="131"/>
      <c r="U157" s="131"/>
      <c r="V157" s="168"/>
      <c r="W157" s="130"/>
      <c r="X157" s="131"/>
      <c r="Y157" s="131"/>
      <c r="Z157" s="175">
        <f>Z149/MAX($K149:$BE149)*14</f>
        <v>14</v>
      </c>
      <c r="AA157" s="130"/>
      <c r="AB157" s="131"/>
      <c r="AC157" s="131"/>
      <c r="AD157" s="168"/>
      <c r="AE157" s="130"/>
      <c r="AF157" s="131"/>
      <c r="AG157" s="131"/>
      <c r="AH157" s="168"/>
      <c r="AI157" s="130"/>
      <c r="AJ157" s="131"/>
      <c r="AK157" s="131"/>
      <c r="AL157" s="168"/>
      <c r="AM157" s="130"/>
      <c r="AN157" s="131"/>
      <c r="AO157" s="131"/>
      <c r="AP157" s="168"/>
      <c r="AQ157" s="130"/>
      <c r="AR157" s="131"/>
      <c r="AS157" s="131"/>
      <c r="AT157" s="168"/>
      <c r="AU157" s="130"/>
      <c r="AV157" s="131"/>
      <c r="AW157" s="131"/>
      <c r="AX157" s="168"/>
      <c r="AY157" s="130"/>
      <c r="AZ157" s="131"/>
      <c r="BA157" s="131"/>
      <c r="BB157" s="175">
        <f>BB149/MAX($K149:$BE149)*14</f>
        <v>13.533333333333333</v>
      </c>
      <c r="BC157" s="130"/>
      <c r="BD157" s="131"/>
      <c r="BE157" s="131"/>
      <c r="BF157" s="168"/>
    </row>
    <row r="158" spans="2:70" x14ac:dyDescent="0.3">
      <c r="B158" s="754"/>
      <c r="C158" s="564"/>
      <c r="D158" s="579"/>
      <c r="E158" s="582" t="s">
        <v>23</v>
      </c>
      <c r="F158" s="583"/>
      <c r="G158" s="240" t="s">
        <v>6</v>
      </c>
      <c r="H158" s="241" t="s">
        <v>7</v>
      </c>
      <c r="I158" s="203">
        <f t="shared" ref="I158" si="111">I150/MAX($I150:$J150)*14</f>
        <v>9.625</v>
      </c>
      <c r="J158" s="204">
        <f t="shared" si="105"/>
        <v>14</v>
      </c>
      <c r="K158" s="130"/>
      <c r="L158" s="131"/>
      <c r="M158" s="131"/>
      <c r="N158" s="168"/>
      <c r="O158" s="130"/>
      <c r="P158" s="131"/>
      <c r="Q158" s="131"/>
      <c r="R158" s="168"/>
      <c r="S158" s="130"/>
      <c r="T158" s="131"/>
      <c r="U158" s="131"/>
      <c r="V158" s="168"/>
      <c r="W158" s="130"/>
      <c r="X158" s="131"/>
      <c r="Y158" s="131"/>
      <c r="Z158" s="168"/>
      <c r="AA158" s="130"/>
      <c r="AB158" s="131"/>
      <c r="AC158" s="131"/>
      <c r="AD158" s="168"/>
      <c r="AE158" s="130"/>
      <c r="AF158" s="131"/>
      <c r="AG158" s="131"/>
      <c r="AH158" s="168"/>
      <c r="AI158" s="130"/>
      <c r="AJ158" s="131"/>
      <c r="AK158" s="131"/>
      <c r="AL158" s="175">
        <f>AL150/MAX($K150:$BE150)*14</f>
        <v>9.625</v>
      </c>
      <c r="AM158" s="130"/>
      <c r="AN158" s="131"/>
      <c r="AO158" s="131"/>
      <c r="AP158" s="175">
        <f>AP150/MAX($K150:$BE150)*14</f>
        <v>14</v>
      </c>
      <c r="AQ158" s="130"/>
      <c r="AR158" s="131"/>
      <c r="AS158" s="131"/>
      <c r="AT158" s="168"/>
      <c r="AU158" s="130"/>
      <c r="AV158" s="131"/>
      <c r="AW158" s="131"/>
      <c r="AX158" s="168"/>
      <c r="AY158" s="130"/>
      <c r="AZ158" s="131"/>
      <c r="BA158" s="131"/>
      <c r="BB158" s="168"/>
      <c r="BC158" s="130"/>
      <c r="BD158" s="131"/>
      <c r="BE158" s="131"/>
      <c r="BF158" s="168"/>
    </row>
    <row r="159" spans="2:70" ht="14.5" thickBot="1" x14ac:dyDescent="0.35">
      <c r="B159" s="754"/>
      <c r="C159" s="565"/>
      <c r="D159" s="579"/>
      <c r="E159" s="582" t="s">
        <v>24</v>
      </c>
      <c r="F159" s="583"/>
      <c r="G159" s="243" t="s">
        <v>5</v>
      </c>
      <c r="H159" s="244" t="s">
        <v>11</v>
      </c>
      <c r="I159" s="267">
        <f t="shared" ref="I159" si="112">I151/MAX($I151:$J151)*14</f>
        <v>14</v>
      </c>
      <c r="J159" s="268">
        <f t="shared" si="105"/>
        <v>11.29032258064516</v>
      </c>
      <c r="K159" s="136"/>
      <c r="L159" s="137"/>
      <c r="M159" s="137"/>
      <c r="N159" s="184"/>
      <c r="O159" s="136"/>
      <c r="P159" s="137"/>
      <c r="Q159" s="137"/>
      <c r="R159" s="184"/>
      <c r="S159" s="136"/>
      <c r="T159" s="137"/>
      <c r="U159" s="137"/>
      <c r="V159" s="184"/>
      <c r="W159" s="136"/>
      <c r="X159" s="137"/>
      <c r="Y159" s="137"/>
      <c r="Z159" s="184"/>
      <c r="AA159" s="136"/>
      <c r="AB159" s="137"/>
      <c r="AC159" s="137"/>
      <c r="AD159" s="184"/>
      <c r="AE159" s="136"/>
      <c r="AF159" s="137"/>
      <c r="AG159" s="137"/>
      <c r="AH159" s="175">
        <f>AH151/MAX($K151:$BE151)*14</f>
        <v>14</v>
      </c>
      <c r="AI159" s="136"/>
      <c r="AJ159" s="137"/>
      <c r="AK159" s="137"/>
      <c r="AL159" s="184"/>
      <c r="AM159" s="136"/>
      <c r="AN159" s="137"/>
      <c r="AO159" s="137"/>
      <c r="AP159" s="184"/>
      <c r="AQ159" s="136"/>
      <c r="AR159" s="137"/>
      <c r="AS159" s="137"/>
      <c r="AT159" s="184"/>
      <c r="AU159" s="136"/>
      <c r="AV159" s="137"/>
      <c r="AW159" s="137"/>
      <c r="AX159" s="184"/>
      <c r="AY159" s="136"/>
      <c r="AZ159" s="137"/>
      <c r="BA159" s="137"/>
      <c r="BB159" s="184"/>
      <c r="BC159" s="136"/>
      <c r="BD159" s="137"/>
      <c r="BE159" s="137"/>
      <c r="BF159" s="175">
        <f>BF151/MAX($K151:$BF151)*14</f>
        <v>11.29032258064516</v>
      </c>
    </row>
    <row r="160" spans="2:70" ht="14.5" thickBot="1" x14ac:dyDescent="0.35">
      <c r="B160" s="754"/>
      <c r="C160" s="768" t="s">
        <v>242</v>
      </c>
      <c r="D160" s="769"/>
      <c r="E160" s="769"/>
      <c r="F160" s="769"/>
      <c r="G160" s="769"/>
      <c r="H160" s="769"/>
      <c r="I160" s="769"/>
      <c r="J160" s="770"/>
      <c r="K160" s="140">
        <f>SUM(K16:K151)</f>
        <v>32</v>
      </c>
      <c r="L160" s="24">
        <f>SUM(L32:L39)+SUM(L80:L87)+SUM(L128:L135)</f>
        <v>755.5770348837209</v>
      </c>
      <c r="M160" s="141">
        <f t="shared" ref="M160:BE160" si="113">SUM(M16:M151)</f>
        <v>40</v>
      </c>
      <c r="N160" s="199">
        <f>SUM(N56:N63,N104:N111,N152:N159)</f>
        <v>55.236363636363635</v>
      </c>
      <c r="O160" s="255">
        <f t="shared" si="113"/>
        <v>35</v>
      </c>
      <c r="P160" s="256">
        <f>SUM(P32:P39)+SUM(P80:P87)+SUM(P128:P135)</f>
        <v>725.37225152094061</v>
      </c>
      <c r="Q160" s="257">
        <f t="shared" si="113"/>
        <v>49</v>
      </c>
      <c r="R160" s="258">
        <f>SUM(R56:R63,R104:R111,R152:R159)</f>
        <v>43.15</v>
      </c>
      <c r="S160" s="255">
        <f t="shared" si="113"/>
        <v>17</v>
      </c>
      <c r="T160" s="256">
        <f>SUM(T32:T39)+SUM(T80:T87)+SUM(T128:T135)</f>
        <v>654.81315250268324</v>
      </c>
      <c r="U160" s="257">
        <f t="shared" si="113"/>
        <v>32</v>
      </c>
      <c r="V160" s="258">
        <f>SUM(V56:V63,V104:V111,V152:V159)</f>
        <v>52</v>
      </c>
      <c r="W160" s="255">
        <f>SUM(W16:W151)</f>
        <v>26</v>
      </c>
      <c r="X160" s="256">
        <f>SUM(X32:X39)+SUM(X80:X87)+SUM(X128:X135)</f>
        <v>623.63857432889688</v>
      </c>
      <c r="Y160" s="257">
        <f t="shared" si="113"/>
        <v>55</v>
      </c>
      <c r="Z160" s="258">
        <f>SUM(Z56:Z63,Z104:Z111,Z152:Z159)</f>
        <v>56</v>
      </c>
      <c r="AA160" s="255">
        <f t="shared" si="113"/>
        <v>36</v>
      </c>
      <c r="AB160" s="256">
        <f>SUM(AB32:AB39)+SUM(AB80:AB87)+SUM(AB128:AB135)</f>
        <v>750.38282924505836</v>
      </c>
      <c r="AC160" s="257">
        <f t="shared" si="113"/>
        <v>56</v>
      </c>
      <c r="AD160" s="258">
        <f>SUM(AD56:AD63,AD104:AD111,AD152:AD159)</f>
        <v>53.5</v>
      </c>
      <c r="AE160" s="255">
        <f t="shared" si="113"/>
        <v>15</v>
      </c>
      <c r="AF160" s="256">
        <f>SUM(AF32:AF39)+SUM(AF80:AF87)+SUM(AF128:AF135)</f>
        <v>833.41176470588232</v>
      </c>
      <c r="AG160" s="257">
        <f t="shared" si="113"/>
        <v>20</v>
      </c>
      <c r="AH160" s="258">
        <f>SUM(AH56:AH63,AH104:AH111,AH152:AH159)</f>
        <v>49.147887323943664</v>
      </c>
      <c r="AI160" s="255">
        <f t="shared" si="113"/>
        <v>8</v>
      </c>
      <c r="AJ160" s="256">
        <f>SUM(AJ32:AJ39)+SUM(AJ80:AJ87)+SUM(AJ128:AJ135)</f>
        <v>738.40784313725499</v>
      </c>
      <c r="AK160" s="257">
        <f t="shared" si="113"/>
        <v>33</v>
      </c>
      <c r="AL160" s="258">
        <f>SUM(AL56:AL63,AL104:AL111,AL152:AL159)</f>
        <v>48.309210526315795</v>
      </c>
      <c r="AM160" s="255">
        <f t="shared" si="113"/>
        <v>35</v>
      </c>
      <c r="AN160" s="256">
        <f>SUM(AN32:AN39)+SUM(AN80:AN87)+SUM(AN128:AN135)</f>
        <v>627.30121364302158</v>
      </c>
      <c r="AO160" s="257">
        <f t="shared" si="113"/>
        <v>54</v>
      </c>
      <c r="AP160" s="258">
        <f>SUM(AP56:AP63,AP104:AP111,AP152:AP159)</f>
        <v>43.29486166007905</v>
      </c>
      <c r="AQ160" s="255">
        <f t="shared" si="113"/>
        <v>34</v>
      </c>
      <c r="AR160" s="256">
        <f>SUM(AR32:AR39)+SUM(AR80:AR87)+SUM(AR128:AR135)</f>
        <v>818.64406779661022</v>
      </c>
      <c r="AS160" s="257">
        <f t="shared" si="113"/>
        <v>54</v>
      </c>
      <c r="AT160" s="258">
        <f>SUM(AT56:AT63,AT104:AT111,AT152:AT159)</f>
        <v>54.444444444444443</v>
      </c>
      <c r="AU160" s="255">
        <f t="shared" si="113"/>
        <v>22</v>
      </c>
      <c r="AV160" s="256">
        <f>SUM(AV32:AV39)+SUM(AV80:AV87)+SUM(AV128:AV135)</f>
        <v>762.74177885546874</v>
      </c>
      <c r="AW160" s="257">
        <f t="shared" si="113"/>
        <v>14</v>
      </c>
      <c r="AX160" s="258">
        <f>SUM(AX56:AX63,AX104:AX111,AX152:AX159)</f>
        <v>39.987878787878785</v>
      </c>
      <c r="AY160" s="255">
        <f t="shared" si="113"/>
        <v>27</v>
      </c>
      <c r="AZ160" s="256">
        <f>SUM(AZ32:AZ39)+SUM(AZ80:AZ87)+SUM(AZ128:AZ135)</f>
        <v>729.61932617312368</v>
      </c>
      <c r="BA160" s="257">
        <f t="shared" si="113"/>
        <v>23</v>
      </c>
      <c r="BB160" s="258">
        <f>SUM(BB56:BB63,BB104:BB111,BB152:BB159)</f>
        <v>53.155974842767293</v>
      </c>
      <c r="BC160" s="255">
        <f t="shared" si="113"/>
        <v>33</v>
      </c>
      <c r="BD160" s="256">
        <f>SUM(BD32:BD39)+SUM(BD80:BD87)+SUM(BD128:BD135)</f>
        <v>840</v>
      </c>
      <c r="BE160" s="259">
        <f t="shared" si="113"/>
        <v>45</v>
      </c>
      <c r="BF160" s="260">
        <f>SUM(BF56:BF63,BF104:BF111,BF152:BF159)</f>
        <v>49.521091811414387</v>
      </c>
    </row>
    <row r="161" spans="2:61" ht="14.5" thickBot="1" x14ac:dyDescent="0.35">
      <c r="B161" s="754"/>
      <c r="C161" s="771" t="s">
        <v>241</v>
      </c>
      <c r="D161" s="772"/>
      <c r="E161" s="772"/>
      <c r="F161" s="772"/>
      <c r="G161" s="772"/>
      <c r="H161" s="772"/>
      <c r="I161" s="772"/>
      <c r="J161" s="773"/>
      <c r="K161" s="113">
        <f>SUM(I17,I21,J22,J67,I69,J112,J115,I117)</f>
        <v>23</v>
      </c>
      <c r="L161" s="114">
        <f>SUM(J32,J81,J86,J132)</f>
        <v>706.91497559722575</v>
      </c>
      <c r="M161" s="115">
        <f>SUM(J88,J95,J142,J44)</f>
        <v>34</v>
      </c>
      <c r="N161" s="182">
        <f>SUM(J59,J63,J154,J108)</f>
        <v>47.323100999157333</v>
      </c>
      <c r="O161" s="261">
        <f>SUM(I20,J21,I66,J70,J113,I114,J116,I119)</f>
        <v>18</v>
      </c>
      <c r="P161" s="262">
        <f>SUM(J34,I81,J83,J133)</f>
        <v>833.41176470588232</v>
      </c>
      <c r="Q161" s="263">
        <f>SUM(J43,J46,I95,J136)</f>
        <v>20</v>
      </c>
      <c r="R161" s="264">
        <f>SUM(J56,J104,J109,J155)</f>
        <v>52.5</v>
      </c>
      <c r="S161" s="261">
        <f>SUM(J18,I23,I64,J69,I112,I113,J114,J117)</f>
        <v>40</v>
      </c>
      <c r="T161" s="262">
        <f>SUM(J35,J38,J87,J131)</f>
        <v>686.57107005164767</v>
      </c>
      <c r="U161" s="263">
        <f>SUM(J40,J89,J92,I142)</f>
        <v>56</v>
      </c>
      <c r="V161" s="264">
        <f>SUM(J57,J106,J110,J156)</f>
        <v>47.454545454545453</v>
      </c>
      <c r="W161" s="261">
        <f>SUM(J16,I18,J23,J66,I67,I115,J118,I119)</f>
        <v>30</v>
      </c>
      <c r="X161" s="262">
        <f>SUM(J37,J84,I87,J130)</f>
        <v>743.51351351351354</v>
      </c>
      <c r="Y161" s="263">
        <f>SUM(J41,I89,J137,J140)</f>
        <v>40</v>
      </c>
      <c r="Z161" s="264">
        <f>SUM(J60,J62,J152,J157)</f>
        <v>43.797254004576658</v>
      </c>
      <c r="AA161" s="261">
        <f>SUM(I18,J20,I67,I69,I70,J64,J116,J114)</f>
        <v>22</v>
      </c>
      <c r="AB161" s="262">
        <f>SUM(I32,J82,J128,J135)</f>
        <v>756.97674418604652</v>
      </c>
      <c r="AC161" s="263">
        <f>SUM(I43,J45,I92,J141)</f>
        <v>22</v>
      </c>
      <c r="AD161" s="264">
        <f>SUM(I57,J105,J111,J153)</f>
        <v>45.381818181818183</v>
      </c>
      <c r="AE161" s="261">
        <f>SUM(I17,J19,I22,J65,J68,J118,I113,I112)</f>
        <v>36</v>
      </c>
      <c r="AF161" s="262">
        <f>SUM(I37,I83,J80,I133)</f>
        <v>685.25152184149249</v>
      </c>
      <c r="AG161" s="263">
        <f>SUM(J47,J93,J90,J139)</f>
        <v>56</v>
      </c>
      <c r="AH161" s="264">
        <f>SUM(I56,J58,I154,J159)</f>
        <v>50.490322580645163</v>
      </c>
      <c r="AI161" s="261">
        <f>SUM(I19,J23,I64,J70,I71,J68,I115,J117)</f>
        <v>39</v>
      </c>
      <c r="AJ161" s="262">
        <f>SUM(J33,J36,J85,I132)</f>
        <v>792.87134052388296</v>
      </c>
      <c r="AK161" s="263">
        <f>SUM(I40,I46,I90,J143)</f>
        <v>45</v>
      </c>
      <c r="AL161" s="264">
        <f>SUM(J61,J107,I152,J158)</f>
        <v>53.622641509433961</v>
      </c>
      <c r="AM161" s="261">
        <f>SUM(I16,J17,J64,I65,I68,J115,I116,J113)</f>
        <v>14</v>
      </c>
      <c r="AN161" s="262">
        <f>SUM(I34,I35,J39,I130)</f>
        <v>784.43866943866942</v>
      </c>
      <c r="AO161" s="263">
        <f>SUM(I44,J91,J94,I143)</f>
        <v>31</v>
      </c>
      <c r="AP161" s="264">
        <f>SUM(I62,I109,I111,I158)</f>
        <v>46.024999999999999</v>
      </c>
      <c r="AQ161" s="261">
        <f>SUM(J18,J21,I22,I65,I68,J69,J112,I118)</f>
        <v>20</v>
      </c>
      <c r="AR161" s="262">
        <f>SUM(I36,I82,I86,I135)</f>
        <v>713.82032924505836</v>
      </c>
      <c r="AS161" s="263">
        <f>SUM(I41,I47,J138,I140)</f>
        <v>35</v>
      </c>
      <c r="AT161" s="264">
        <f>SUM(I59,I107,I153,I155)</f>
        <v>46.166666666666671</v>
      </c>
      <c r="AU161" s="261">
        <f>SUM(J17,I19,J65,J67,I71,I117,J119,I66)</f>
        <v>28</v>
      </c>
      <c r="AV161" s="262">
        <f>SUM(I38,I39,J134,I128)</f>
        <v>750.98765432098764</v>
      </c>
      <c r="AW161" s="263">
        <f>SUM(I45,I88,I137,I138)</f>
        <v>56</v>
      </c>
      <c r="AX161" s="264">
        <f>SUM(I58,I60,I110,I156)</f>
        <v>56</v>
      </c>
      <c r="AY161" s="261">
        <f>SUM(I16,I23,J20,J66,J71,I114,J119,J22)</f>
        <v>33</v>
      </c>
      <c r="AZ161" s="262">
        <f>SUM(I80,I85,I134,J129)</f>
        <v>827.64705882352939</v>
      </c>
      <c r="BA161" s="263">
        <f>SUM(J42,I94,I136,I139)</f>
        <v>51</v>
      </c>
      <c r="BB161" s="264">
        <f>SUM(I61,I105,I108,I157)</f>
        <v>52.986363636363635</v>
      </c>
      <c r="BC161" s="261">
        <f>SUM(J16,J19,I21,I70,J71,I116,I118,I20)</f>
        <v>17</v>
      </c>
      <c r="BD161" s="262">
        <f>SUM(I33,I84,I129,I131)</f>
        <v>577.50519454472521</v>
      </c>
      <c r="BE161" s="265">
        <f>SUM(I42,I93,I141,I91)</f>
        <v>29</v>
      </c>
      <c r="BF161" s="266">
        <f>SUM(I63,I106,I104,I159)</f>
        <v>44.747709654686403</v>
      </c>
    </row>
    <row r="162" spans="2:61" ht="14.5" thickBot="1" x14ac:dyDescent="0.35">
      <c r="B162" s="754"/>
      <c r="C162" s="768" t="s">
        <v>302</v>
      </c>
      <c r="D162" s="769"/>
      <c r="E162" s="769"/>
      <c r="F162" s="769"/>
      <c r="G162" s="769"/>
      <c r="H162" s="769"/>
      <c r="I162" s="769"/>
      <c r="J162" s="770"/>
      <c r="K162" s="112">
        <f>K160 - K161/1000</f>
        <v>31.977</v>
      </c>
      <c r="L162" s="200">
        <f t="shared" ref="L162:BF162" si="114">L160 - L161/1000</f>
        <v>754.87011990812368</v>
      </c>
      <c r="M162" s="253">
        <f t="shared" si="114"/>
        <v>39.966000000000001</v>
      </c>
      <c r="N162" s="254">
        <f t="shared" si="114"/>
        <v>55.189040535364477</v>
      </c>
      <c r="O162" s="112">
        <f t="shared" si="114"/>
        <v>34.981999999999999</v>
      </c>
      <c r="P162" s="200">
        <f t="shared" si="114"/>
        <v>724.53883975623478</v>
      </c>
      <c r="Q162" s="253">
        <f t="shared" si="114"/>
        <v>48.98</v>
      </c>
      <c r="R162" s="254">
        <f t="shared" si="114"/>
        <v>43.097499999999997</v>
      </c>
      <c r="S162" s="112">
        <f t="shared" si="114"/>
        <v>16.96</v>
      </c>
      <c r="T162" s="200">
        <f t="shared" si="114"/>
        <v>654.12658143263161</v>
      </c>
      <c r="U162" s="253">
        <f t="shared" si="114"/>
        <v>31.943999999999999</v>
      </c>
      <c r="V162" s="254">
        <f t="shared" si="114"/>
        <v>51.952545454545458</v>
      </c>
      <c r="W162" s="112">
        <f t="shared" si="114"/>
        <v>25.97</v>
      </c>
      <c r="X162" s="200">
        <f t="shared" si="114"/>
        <v>622.89506081538332</v>
      </c>
      <c r="Y162" s="253">
        <f t="shared" si="114"/>
        <v>54.96</v>
      </c>
      <c r="Z162" s="254">
        <f t="shared" si="114"/>
        <v>55.956202745995427</v>
      </c>
      <c r="AA162" s="112">
        <f t="shared" si="114"/>
        <v>35.978000000000002</v>
      </c>
      <c r="AB162" s="200">
        <f t="shared" si="114"/>
        <v>749.62585250087227</v>
      </c>
      <c r="AC162" s="253">
        <f t="shared" si="114"/>
        <v>55.978000000000002</v>
      </c>
      <c r="AD162" s="254">
        <f t="shared" si="114"/>
        <v>53.454618181818184</v>
      </c>
      <c r="AE162" s="112">
        <f t="shared" si="114"/>
        <v>14.964</v>
      </c>
      <c r="AF162" s="200">
        <f t="shared" si="114"/>
        <v>832.72651318404087</v>
      </c>
      <c r="AG162" s="253">
        <f t="shared" si="114"/>
        <v>19.943999999999999</v>
      </c>
      <c r="AH162" s="254">
        <f t="shared" si="114"/>
        <v>49.097397001363021</v>
      </c>
      <c r="AI162" s="112">
        <f t="shared" si="114"/>
        <v>7.9610000000000003</v>
      </c>
      <c r="AJ162" s="200">
        <f t="shared" si="114"/>
        <v>737.61497179673108</v>
      </c>
      <c r="AK162" s="253">
        <f t="shared" si="114"/>
        <v>32.954999999999998</v>
      </c>
      <c r="AL162" s="254">
        <f t="shared" si="114"/>
        <v>48.25558788480636</v>
      </c>
      <c r="AM162" s="112">
        <f t="shared" si="114"/>
        <v>34.985999999999997</v>
      </c>
      <c r="AN162" s="200">
        <f t="shared" si="114"/>
        <v>626.51677497358287</v>
      </c>
      <c r="AO162" s="253">
        <f t="shared" si="114"/>
        <v>53.969000000000001</v>
      </c>
      <c r="AP162" s="254">
        <f t="shared" si="114"/>
        <v>43.24883666007905</v>
      </c>
      <c r="AQ162" s="112">
        <f t="shared" si="114"/>
        <v>33.979999999999997</v>
      </c>
      <c r="AR162" s="200">
        <f t="shared" si="114"/>
        <v>817.93024746736512</v>
      </c>
      <c r="AS162" s="253">
        <f t="shared" si="114"/>
        <v>53.965000000000003</v>
      </c>
      <c r="AT162" s="254">
        <f t="shared" si="114"/>
        <v>54.398277777777778</v>
      </c>
      <c r="AU162" s="112">
        <f t="shared" si="114"/>
        <v>21.972000000000001</v>
      </c>
      <c r="AV162" s="200">
        <f t="shared" si="114"/>
        <v>761.99079120114777</v>
      </c>
      <c r="AW162" s="253">
        <f t="shared" si="114"/>
        <v>13.944000000000001</v>
      </c>
      <c r="AX162" s="254">
        <f t="shared" si="114"/>
        <v>39.931878787878787</v>
      </c>
      <c r="AY162" s="112">
        <f t="shared" si="114"/>
        <v>26.966999999999999</v>
      </c>
      <c r="AZ162" s="200">
        <f t="shared" si="114"/>
        <v>728.79167911430011</v>
      </c>
      <c r="BA162" s="253">
        <f t="shared" si="114"/>
        <v>22.949000000000002</v>
      </c>
      <c r="BB162" s="254">
        <f t="shared" si="114"/>
        <v>53.102988479130929</v>
      </c>
      <c r="BC162" s="112">
        <f t="shared" si="114"/>
        <v>32.982999999999997</v>
      </c>
      <c r="BD162" s="200">
        <f t="shared" si="114"/>
        <v>839.42249480545524</v>
      </c>
      <c r="BE162" s="253">
        <f t="shared" si="114"/>
        <v>44.970999999999997</v>
      </c>
      <c r="BF162" s="254">
        <f t="shared" si="114"/>
        <v>49.4763441017597</v>
      </c>
    </row>
    <row r="163" spans="2:61" x14ac:dyDescent="0.3">
      <c r="B163" s="754"/>
      <c r="C163" s="1"/>
      <c r="D163" s="1"/>
      <c r="E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2:61" ht="14.5" thickBot="1" x14ac:dyDescent="0.35">
      <c r="B164" s="754"/>
      <c r="C164" s="1"/>
      <c r="D164" s="1"/>
      <c r="E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2:61" ht="17.5" x14ac:dyDescent="0.3">
      <c r="B165" s="754"/>
      <c r="C165" s="642" t="s">
        <v>316</v>
      </c>
      <c r="D165" s="643"/>
      <c r="E165" s="643"/>
      <c r="F165" s="643"/>
      <c r="G165" s="643"/>
      <c r="H165" s="643"/>
      <c r="I165" s="643"/>
      <c r="J165" s="644"/>
      <c r="K165" s="191">
        <f>K162*21</f>
        <v>671.51700000000005</v>
      </c>
      <c r="L165" s="192"/>
      <c r="M165" s="192"/>
      <c r="N165" s="193"/>
      <c r="O165" s="191">
        <f>O162*21</f>
        <v>734.62199999999996</v>
      </c>
      <c r="P165" s="192"/>
      <c r="Q165" s="192"/>
      <c r="R165" s="193"/>
      <c r="S165" s="191">
        <f>S162*21</f>
        <v>356.16</v>
      </c>
      <c r="T165" s="192"/>
      <c r="U165" s="192"/>
      <c r="V165" s="193"/>
      <c r="W165" s="191">
        <f>W162*21</f>
        <v>545.37</v>
      </c>
      <c r="X165" s="192"/>
      <c r="Y165" s="192"/>
      <c r="Z165" s="193"/>
      <c r="AA165" s="191">
        <f>AA162*21</f>
        <v>755.53800000000001</v>
      </c>
      <c r="AB165" s="192"/>
      <c r="AC165" s="192"/>
      <c r="AD165" s="193"/>
      <c r="AE165" s="191">
        <f>AE162*21</f>
        <v>314.24400000000003</v>
      </c>
      <c r="AF165" s="192"/>
      <c r="AG165" s="192"/>
      <c r="AH165" s="193"/>
      <c r="AI165" s="191">
        <f>AI162*21</f>
        <v>167.18100000000001</v>
      </c>
      <c r="AJ165" s="192"/>
      <c r="AK165" s="192"/>
      <c r="AL165" s="193"/>
      <c r="AM165" s="191">
        <f>AM162*21</f>
        <v>734.7059999999999</v>
      </c>
      <c r="AN165" s="192"/>
      <c r="AO165" s="192"/>
      <c r="AP165" s="193"/>
      <c r="AQ165" s="191">
        <f>AQ162*21</f>
        <v>713.57999999999993</v>
      </c>
      <c r="AR165" s="192"/>
      <c r="AS165" s="192"/>
      <c r="AT165" s="193"/>
      <c r="AU165" s="191">
        <f>AU162*21</f>
        <v>461.41200000000003</v>
      </c>
      <c r="AV165" s="192"/>
      <c r="AW165" s="192"/>
      <c r="AX165" s="193"/>
      <c r="AY165" s="191">
        <f>AY162*21</f>
        <v>566.30700000000002</v>
      </c>
      <c r="AZ165" s="192"/>
      <c r="BA165" s="192"/>
      <c r="BB165" s="193"/>
      <c r="BC165" s="191">
        <f>BC162*21</f>
        <v>692.64299999999992</v>
      </c>
      <c r="BD165" s="192"/>
      <c r="BE165" s="192"/>
      <c r="BF165" s="193"/>
      <c r="BI165" s="21"/>
    </row>
    <row r="166" spans="2:61" ht="17.5" x14ac:dyDescent="0.3">
      <c r="B166" s="754"/>
      <c r="C166" s="645" t="s">
        <v>299</v>
      </c>
      <c r="D166" s="646"/>
      <c r="E166" s="646"/>
      <c r="F166" s="646"/>
      <c r="G166" s="646"/>
      <c r="H166" s="646"/>
      <c r="I166" s="646"/>
      <c r="J166" s="647"/>
      <c r="K166" s="246"/>
      <c r="L166" s="247">
        <f>L162</f>
        <v>754.87011990812368</v>
      </c>
      <c r="M166" s="248"/>
      <c r="N166" s="249"/>
      <c r="O166" s="246"/>
      <c r="P166" s="247">
        <f>P162</f>
        <v>724.53883975623478</v>
      </c>
      <c r="Q166" s="248"/>
      <c r="R166" s="249"/>
      <c r="S166" s="246"/>
      <c r="T166" s="247">
        <f>T162</f>
        <v>654.12658143263161</v>
      </c>
      <c r="U166" s="248"/>
      <c r="V166" s="249"/>
      <c r="W166" s="246"/>
      <c r="X166" s="247">
        <f>X162</f>
        <v>622.89506081538332</v>
      </c>
      <c r="Y166" s="248"/>
      <c r="Z166" s="249"/>
      <c r="AA166" s="246"/>
      <c r="AB166" s="247">
        <f>AB162</f>
        <v>749.62585250087227</v>
      </c>
      <c r="AC166" s="248"/>
      <c r="AD166" s="249"/>
      <c r="AE166" s="246"/>
      <c r="AF166" s="247">
        <f>AF162</f>
        <v>832.72651318404087</v>
      </c>
      <c r="AG166" s="248"/>
      <c r="AH166" s="249"/>
      <c r="AI166" s="246"/>
      <c r="AJ166" s="247">
        <f>AJ162</f>
        <v>737.61497179673108</v>
      </c>
      <c r="AK166" s="248"/>
      <c r="AL166" s="249"/>
      <c r="AM166" s="246"/>
      <c r="AN166" s="247">
        <f>AN162</f>
        <v>626.51677497358287</v>
      </c>
      <c r="AO166" s="248"/>
      <c r="AP166" s="249"/>
      <c r="AQ166" s="246"/>
      <c r="AR166" s="247">
        <f>AR162</f>
        <v>817.93024746736512</v>
      </c>
      <c r="AS166" s="248"/>
      <c r="AT166" s="249"/>
      <c r="AU166" s="246"/>
      <c r="AV166" s="247">
        <f>AV162</f>
        <v>761.99079120114777</v>
      </c>
      <c r="AW166" s="248"/>
      <c r="AX166" s="249"/>
      <c r="AY166" s="246"/>
      <c r="AZ166" s="247">
        <f>AZ162</f>
        <v>728.79167911430011</v>
      </c>
      <c r="BA166" s="248"/>
      <c r="BB166" s="249"/>
      <c r="BC166" s="246"/>
      <c r="BD166" s="247">
        <f>BD162</f>
        <v>839.42249480545524</v>
      </c>
      <c r="BE166" s="248"/>
      <c r="BF166" s="249"/>
      <c r="BI166" s="21"/>
    </row>
    <row r="167" spans="2:61" ht="17.5" x14ac:dyDescent="0.3">
      <c r="B167" s="754"/>
      <c r="C167" s="648" t="s">
        <v>300</v>
      </c>
      <c r="D167" s="649"/>
      <c r="E167" s="649"/>
      <c r="F167" s="649"/>
      <c r="G167" s="649"/>
      <c r="H167" s="649"/>
      <c r="I167" s="649"/>
      <c r="J167" s="650"/>
      <c r="K167" s="246"/>
      <c r="L167" s="248"/>
      <c r="M167" s="194">
        <f>M162*15</f>
        <v>599.49</v>
      </c>
      <c r="N167" s="249"/>
      <c r="O167" s="246"/>
      <c r="P167" s="248"/>
      <c r="Q167" s="194">
        <f>Q162*15</f>
        <v>734.69999999999993</v>
      </c>
      <c r="R167" s="249"/>
      <c r="S167" s="246"/>
      <c r="T167" s="248"/>
      <c r="U167" s="194">
        <f>U162*15</f>
        <v>479.15999999999997</v>
      </c>
      <c r="V167" s="249"/>
      <c r="W167" s="246"/>
      <c r="X167" s="248"/>
      <c r="Y167" s="194">
        <f>Y162*15</f>
        <v>824.4</v>
      </c>
      <c r="Z167" s="249"/>
      <c r="AA167" s="246"/>
      <c r="AB167" s="248"/>
      <c r="AC167" s="194">
        <f>AC162*15</f>
        <v>839.67000000000007</v>
      </c>
      <c r="AD167" s="249"/>
      <c r="AE167" s="246"/>
      <c r="AF167" s="248"/>
      <c r="AG167" s="194">
        <f>AG162*15</f>
        <v>299.15999999999997</v>
      </c>
      <c r="AH167" s="249"/>
      <c r="AI167" s="246"/>
      <c r="AJ167" s="248"/>
      <c r="AK167" s="194">
        <f>AK162*15</f>
        <v>494.32499999999999</v>
      </c>
      <c r="AL167" s="249"/>
      <c r="AM167" s="246"/>
      <c r="AN167" s="248"/>
      <c r="AO167" s="194">
        <f>AO162*15</f>
        <v>809.53499999999997</v>
      </c>
      <c r="AP167" s="249"/>
      <c r="AQ167" s="246"/>
      <c r="AR167" s="248"/>
      <c r="AS167" s="194">
        <f>AS162*15</f>
        <v>809.47500000000002</v>
      </c>
      <c r="AT167" s="249"/>
      <c r="AU167" s="246"/>
      <c r="AV167" s="248"/>
      <c r="AW167" s="194">
        <f>AW162*15</f>
        <v>209.16000000000003</v>
      </c>
      <c r="AX167" s="249"/>
      <c r="AY167" s="246"/>
      <c r="AZ167" s="248"/>
      <c r="BA167" s="194">
        <f>BA162*15</f>
        <v>344.23500000000001</v>
      </c>
      <c r="BB167" s="249"/>
      <c r="BC167" s="246"/>
      <c r="BD167" s="248"/>
      <c r="BE167" s="194">
        <f>BE162*15</f>
        <v>674.56499999999994</v>
      </c>
      <c r="BF167" s="249"/>
      <c r="BI167" s="21"/>
    </row>
    <row r="168" spans="2:61" ht="18" thickBot="1" x14ac:dyDescent="0.35">
      <c r="B168" s="754"/>
      <c r="C168" s="606" t="s">
        <v>301</v>
      </c>
      <c r="D168" s="607"/>
      <c r="E168" s="607"/>
      <c r="F168" s="607"/>
      <c r="G168" s="607"/>
      <c r="H168" s="607"/>
      <c r="I168" s="607"/>
      <c r="J168" s="608"/>
      <c r="K168" s="250"/>
      <c r="L168" s="251"/>
      <c r="M168" s="251"/>
      <c r="N168" s="252">
        <f>N162*15</f>
        <v>827.83560803046714</v>
      </c>
      <c r="O168" s="250"/>
      <c r="P168" s="251"/>
      <c r="Q168" s="251"/>
      <c r="R168" s="252">
        <f>R162*15</f>
        <v>646.46249999999998</v>
      </c>
      <c r="S168" s="250"/>
      <c r="T168" s="251"/>
      <c r="U168" s="251"/>
      <c r="V168" s="252">
        <f>V162*15</f>
        <v>779.2881818181819</v>
      </c>
      <c r="W168" s="250"/>
      <c r="X168" s="251"/>
      <c r="Y168" s="251"/>
      <c r="Z168" s="252">
        <f>Z162*15</f>
        <v>839.34304118993145</v>
      </c>
      <c r="AA168" s="250"/>
      <c r="AB168" s="251"/>
      <c r="AC168" s="251"/>
      <c r="AD168" s="252">
        <f>AD162*15</f>
        <v>801.81927272727273</v>
      </c>
      <c r="AE168" s="250"/>
      <c r="AF168" s="251"/>
      <c r="AG168" s="251"/>
      <c r="AH168" s="252">
        <f>AH162*15</f>
        <v>736.46095502044534</v>
      </c>
      <c r="AI168" s="250"/>
      <c r="AJ168" s="251"/>
      <c r="AK168" s="251"/>
      <c r="AL168" s="252">
        <f>AL162*15</f>
        <v>723.83381827209541</v>
      </c>
      <c r="AM168" s="250"/>
      <c r="AN168" s="251"/>
      <c r="AO168" s="251"/>
      <c r="AP168" s="252">
        <f>AP162*15</f>
        <v>648.73254990118573</v>
      </c>
      <c r="AQ168" s="250"/>
      <c r="AR168" s="251"/>
      <c r="AS168" s="251"/>
      <c r="AT168" s="252">
        <f>AT162*15</f>
        <v>815.97416666666663</v>
      </c>
      <c r="AU168" s="250"/>
      <c r="AV168" s="251"/>
      <c r="AW168" s="251"/>
      <c r="AX168" s="252">
        <f>AX162*15</f>
        <v>598.97818181818184</v>
      </c>
      <c r="AY168" s="250"/>
      <c r="AZ168" s="251"/>
      <c r="BA168" s="251"/>
      <c r="BB168" s="252">
        <f>BB162*15</f>
        <v>796.54482718696397</v>
      </c>
      <c r="BC168" s="250"/>
      <c r="BD168" s="251"/>
      <c r="BE168" s="251"/>
      <c r="BF168" s="252">
        <f>BF162*15</f>
        <v>742.14516152639555</v>
      </c>
      <c r="BI168" s="21"/>
    </row>
    <row r="169" spans="2:61" ht="18" thickBot="1" x14ac:dyDescent="0.35">
      <c r="B169" s="754"/>
      <c r="C169" s="651" t="s">
        <v>27</v>
      </c>
      <c r="D169" s="652"/>
      <c r="E169" s="652"/>
      <c r="F169" s="652"/>
      <c r="G169" s="652"/>
      <c r="H169" s="652"/>
      <c r="I169" s="652"/>
      <c r="J169" s="653"/>
      <c r="K169" s="612">
        <f t="shared" ref="K169" si="115">K165+L166+M167 + N168</f>
        <v>2853.7127279385909</v>
      </c>
      <c r="L169" s="613"/>
      <c r="M169" s="613"/>
      <c r="N169" s="614"/>
      <c r="O169" s="612">
        <f t="shared" ref="O169" si="116">O165+P166+Q167 + R168</f>
        <v>2840.3233397562349</v>
      </c>
      <c r="P169" s="613"/>
      <c r="Q169" s="613"/>
      <c r="R169" s="614"/>
      <c r="S169" s="612">
        <f t="shared" ref="S169" si="117">S165+T166+U167 + V168</f>
        <v>2268.7347632508136</v>
      </c>
      <c r="T169" s="613"/>
      <c r="U169" s="613"/>
      <c r="V169" s="614"/>
      <c r="W169" s="612">
        <f t="shared" ref="W169" si="118">W165+X166+Y167 + Z168</f>
        <v>2832.0081020053149</v>
      </c>
      <c r="X169" s="613"/>
      <c r="Y169" s="613"/>
      <c r="Z169" s="614"/>
      <c r="AA169" s="612">
        <f t="shared" ref="AA169" si="119">AA165+AB166+AC167 + AD168</f>
        <v>3146.6531252281447</v>
      </c>
      <c r="AB169" s="613"/>
      <c r="AC169" s="613"/>
      <c r="AD169" s="614"/>
      <c r="AE169" s="612">
        <f t="shared" ref="AE169" si="120">AE165+AF166+AG167 + AH168</f>
        <v>2182.5914682044863</v>
      </c>
      <c r="AF169" s="613"/>
      <c r="AG169" s="613"/>
      <c r="AH169" s="614"/>
      <c r="AI169" s="612">
        <f t="shared" ref="AI169" si="121">AI165+AJ166+AK167 + AL168</f>
        <v>2122.9547900688267</v>
      </c>
      <c r="AJ169" s="613"/>
      <c r="AK169" s="613"/>
      <c r="AL169" s="614"/>
      <c r="AM169" s="612">
        <f>AM165+AN166+AO167 + AP168</f>
        <v>2819.4903248747687</v>
      </c>
      <c r="AN169" s="613"/>
      <c r="AO169" s="613"/>
      <c r="AP169" s="614"/>
      <c r="AQ169" s="612">
        <f>AQ165+AR166+AS167 + AT168</f>
        <v>3156.9594141340312</v>
      </c>
      <c r="AR169" s="613"/>
      <c r="AS169" s="613"/>
      <c r="AT169" s="614"/>
      <c r="AU169" s="612">
        <f>AU165+AV166+AW167 + AX168</f>
        <v>2031.5409730193298</v>
      </c>
      <c r="AV169" s="613"/>
      <c r="AW169" s="613"/>
      <c r="AX169" s="614"/>
      <c r="AY169" s="612">
        <f>AY165+AZ166+BA167 + BB168</f>
        <v>2435.8785063012642</v>
      </c>
      <c r="AZ169" s="613"/>
      <c r="BA169" s="613"/>
      <c r="BB169" s="614"/>
      <c r="BC169" s="612">
        <f>BC165+BD166+BE167 + BF168</f>
        <v>2948.7756563318508</v>
      </c>
      <c r="BD169" s="613"/>
      <c r="BE169" s="613"/>
      <c r="BF169" s="614"/>
    </row>
    <row r="170" spans="2:61" x14ac:dyDescent="0.3">
      <c r="B170" s="754"/>
      <c r="C170" s="5"/>
      <c r="D170" s="5"/>
      <c r="E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2:61" ht="14.5" thickBot="1" x14ac:dyDescent="0.35">
      <c r="B171" s="754"/>
      <c r="C171" s="5"/>
      <c r="D171" s="5"/>
      <c r="E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2:61" ht="17.5" x14ac:dyDescent="0.3">
      <c r="B172" s="754"/>
      <c r="C172" s="654" t="s">
        <v>144</v>
      </c>
      <c r="D172" s="655"/>
      <c r="E172" s="655"/>
      <c r="F172" s="655"/>
      <c r="G172" s="655"/>
      <c r="H172" s="655"/>
      <c r="I172" s="655"/>
      <c r="J172" s="656"/>
      <c r="K172" s="307">
        <f>K165/8.4/100</f>
        <v>0.79942500000000005</v>
      </c>
      <c r="L172" s="308"/>
      <c r="M172" s="308"/>
      <c r="N172" s="309"/>
      <c r="O172" s="307">
        <f>O165/8.4/100</f>
        <v>0.87454999999999994</v>
      </c>
      <c r="P172" s="308"/>
      <c r="Q172" s="308"/>
      <c r="R172" s="309"/>
      <c r="S172" s="307">
        <f>S165/8.4/100</f>
        <v>0.42399999999999999</v>
      </c>
      <c r="T172" s="308"/>
      <c r="U172" s="308"/>
      <c r="V172" s="309"/>
      <c r="W172" s="307">
        <f>W165/8.4/100</f>
        <v>0.64924999999999999</v>
      </c>
      <c r="X172" s="308"/>
      <c r="Y172" s="308"/>
      <c r="Z172" s="309"/>
      <c r="AA172" s="307">
        <f>AA165/8.4/100</f>
        <v>0.89944999999999997</v>
      </c>
      <c r="AB172" s="308"/>
      <c r="AC172" s="308"/>
      <c r="AD172" s="309"/>
      <c r="AE172" s="307">
        <f>AE165/8.4/100</f>
        <v>0.37410000000000004</v>
      </c>
      <c r="AF172" s="308"/>
      <c r="AG172" s="308"/>
      <c r="AH172" s="309"/>
      <c r="AI172" s="307">
        <f>AI165/8.4/100</f>
        <v>0.19902500000000001</v>
      </c>
      <c r="AJ172" s="308"/>
      <c r="AK172" s="308"/>
      <c r="AL172" s="309"/>
      <c r="AM172" s="307">
        <f>AM165/8.4/100</f>
        <v>0.87464999999999993</v>
      </c>
      <c r="AN172" s="308"/>
      <c r="AO172" s="308"/>
      <c r="AP172" s="309"/>
      <c r="AQ172" s="307">
        <f>AQ165/8.4/100</f>
        <v>0.84949999999999992</v>
      </c>
      <c r="AR172" s="308"/>
      <c r="AS172" s="308"/>
      <c r="AT172" s="309"/>
      <c r="AU172" s="307">
        <f>AU165/8.4/100</f>
        <v>0.54930000000000001</v>
      </c>
      <c r="AV172" s="308"/>
      <c r="AW172" s="308"/>
      <c r="AX172" s="309"/>
      <c r="AY172" s="307">
        <f>AY165/8.4/100</f>
        <v>0.67417500000000008</v>
      </c>
      <c r="AZ172" s="308"/>
      <c r="BA172" s="308"/>
      <c r="BB172" s="309"/>
      <c r="BC172" s="307">
        <f>BC165/8.4/100</f>
        <v>0.82457499999999984</v>
      </c>
      <c r="BD172" s="308"/>
      <c r="BE172" s="308"/>
      <c r="BF172" s="309"/>
    </row>
    <row r="173" spans="2:61" ht="17.5" x14ac:dyDescent="0.3">
      <c r="B173" s="754"/>
      <c r="C173" s="618" t="s">
        <v>145</v>
      </c>
      <c r="D173" s="619"/>
      <c r="E173" s="619"/>
      <c r="F173" s="619"/>
      <c r="G173" s="619"/>
      <c r="H173" s="619"/>
      <c r="I173" s="619"/>
      <c r="J173" s="620"/>
      <c r="K173" s="310"/>
      <c r="L173" s="311">
        <f>L166/8.4/100</f>
        <v>0.89865490465252817</v>
      </c>
      <c r="M173" s="312"/>
      <c r="N173" s="313"/>
      <c r="O173" s="310"/>
      <c r="P173" s="311">
        <f>P166/8.4/100</f>
        <v>0.86254623780504136</v>
      </c>
      <c r="Q173" s="312"/>
      <c r="R173" s="313"/>
      <c r="S173" s="310"/>
      <c r="T173" s="311">
        <f>T166/8.4/100</f>
        <v>0.77872212075313285</v>
      </c>
      <c r="U173" s="312"/>
      <c r="V173" s="313"/>
      <c r="W173" s="310"/>
      <c r="X173" s="311">
        <f>X166/8.4/100</f>
        <v>0.74154173906593246</v>
      </c>
      <c r="Y173" s="312"/>
      <c r="Z173" s="313"/>
      <c r="AA173" s="310"/>
      <c r="AB173" s="311">
        <f>AB166/8.4/100</f>
        <v>0.89241172916770506</v>
      </c>
      <c r="AC173" s="312"/>
      <c r="AD173" s="313"/>
      <c r="AE173" s="310"/>
      <c r="AF173" s="311">
        <f>AF166/8.4/100</f>
        <v>0.99134108712385816</v>
      </c>
      <c r="AG173" s="312"/>
      <c r="AH173" s="313"/>
      <c r="AI173" s="310"/>
      <c r="AJ173" s="311">
        <f>AJ166/8.4/100</f>
        <v>0.87811306166277503</v>
      </c>
      <c r="AK173" s="312"/>
      <c r="AL173" s="313"/>
      <c r="AM173" s="310"/>
      <c r="AN173" s="311">
        <f>AN166/8.4/100</f>
        <v>0.74585330353997958</v>
      </c>
      <c r="AO173" s="312"/>
      <c r="AP173" s="313"/>
      <c r="AQ173" s="310"/>
      <c r="AR173" s="311">
        <f>AR166/8.4/100</f>
        <v>0.97372648508019655</v>
      </c>
      <c r="AS173" s="312"/>
      <c r="AT173" s="313"/>
      <c r="AU173" s="310"/>
      <c r="AV173" s="311">
        <f>AV166/8.4/100</f>
        <v>0.90713189428708063</v>
      </c>
      <c r="AW173" s="312"/>
      <c r="AX173" s="313"/>
      <c r="AY173" s="310"/>
      <c r="AZ173" s="311">
        <f>AZ166/8.4/100</f>
        <v>0.86760914180273818</v>
      </c>
      <c r="BA173" s="312"/>
      <c r="BB173" s="313"/>
      <c r="BC173" s="310"/>
      <c r="BD173" s="311">
        <f>BD166/8.4/100</f>
        <v>0.99931249381601817</v>
      </c>
      <c r="BE173" s="312"/>
      <c r="BF173" s="313"/>
    </row>
    <row r="174" spans="2:61" ht="17.5" x14ac:dyDescent="0.3">
      <c r="B174" s="754"/>
      <c r="C174" s="621" t="s">
        <v>146</v>
      </c>
      <c r="D174" s="622"/>
      <c r="E174" s="622"/>
      <c r="F174" s="622"/>
      <c r="G174" s="622"/>
      <c r="H174" s="622"/>
      <c r="I174" s="622"/>
      <c r="J174" s="623"/>
      <c r="K174" s="310"/>
      <c r="L174" s="312"/>
      <c r="M174" s="314">
        <f>M167/8.4/100</f>
        <v>0.7136785714285715</v>
      </c>
      <c r="N174" s="313"/>
      <c r="O174" s="310"/>
      <c r="P174" s="312"/>
      <c r="Q174" s="314">
        <f>Q167/8.4/100</f>
        <v>0.87464285714285706</v>
      </c>
      <c r="R174" s="313"/>
      <c r="S174" s="310"/>
      <c r="T174" s="312"/>
      <c r="U174" s="314">
        <f>U167/8.4/100</f>
        <v>0.5704285714285714</v>
      </c>
      <c r="V174" s="313"/>
      <c r="W174" s="310"/>
      <c r="X174" s="312"/>
      <c r="Y174" s="314">
        <f>Y167/8.4/100</f>
        <v>0.98142857142857143</v>
      </c>
      <c r="Z174" s="313"/>
      <c r="AA174" s="310"/>
      <c r="AB174" s="312"/>
      <c r="AC174" s="314">
        <f>AC167/8.4/100</f>
        <v>0.99960714285714292</v>
      </c>
      <c r="AD174" s="313"/>
      <c r="AE174" s="310"/>
      <c r="AF174" s="312"/>
      <c r="AG174" s="314">
        <f>AG167/8.4/100</f>
        <v>0.35614285714285709</v>
      </c>
      <c r="AH174" s="313"/>
      <c r="AI174" s="310"/>
      <c r="AJ174" s="312"/>
      <c r="AK174" s="314">
        <f>AK167/8.4/100</f>
        <v>0.58848214285714284</v>
      </c>
      <c r="AL174" s="313"/>
      <c r="AM174" s="310"/>
      <c r="AN174" s="312"/>
      <c r="AO174" s="314">
        <f>AO167/8.4/100</f>
        <v>0.96373214285714282</v>
      </c>
      <c r="AP174" s="313"/>
      <c r="AQ174" s="310"/>
      <c r="AR174" s="312"/>
      <c r="AS174" s="314">
        <f>AS167/8.4/100</f>
        <v>0.96366071428571431</v>
      </c>
      <c r="AT174" s="313"/>
      <c r="AU174" s="310"/>
      <c r="AV174" s="312"/>
      <c r="AW174" s="314">
        <f>AW167/8.4/100</f>
        <v>0.24900000000000003</v>
      </c>
      <c r="AX174" s="313"/>
      <c r="AY174" s="310"/>
      <c r="AZ174" s="312"/>
      <c r="BA174" s="314">
        <f>BA167/8.4/100</f>
        <v>0.40980357142857143</v>
      </c>
      <c r="BB174" s="313"/>
      <c r="BC174" s="310"/>
      <c r="BD174" s="312"/>
      <c r="BE174" s="314">
        <f>BE167/8.4/100</f>
        <v>0.80305357142857137</v>
      </c>
      <c r="BF174" s="313"/>
    </row>
    <row r="175" spans="2:61" ht="18" thickBot="1" x14ac:dyDescent="0.35">
      <c r="B175" s="754"/>
      <c r="C175" s="606" t="s">
        <v>295</v>
      </c>
      <c r="D175" s="607"/>
      <c r="E175" s="607"/>
      <c r="F175" s="607"/>
      <c r="G175" s="607"/>
      <c r="H175" s="607"/>
      <c r="I175" s="607"/>
      <c r="J175" s="608"/>
      <c r="K175" s="315"/>
      <c r="L175" s="316"/>
      <c r="M175" s="316"/>
      <c r="N175" s="317">
        <f>N168/8.4/100</f>
        <v>0.9855185809886513</v>
      </c>
      <c r="O175" s="315"/>
      <c r="P175" s="316"/>
      <c r="Q175" s="316"/>
      <c r="R175" s="317">
        <f>R168/8.4/100</f>
        <v>0.76959821428571418</v>
      </c>
      <c r="S175" s="315"/>
      <c r="T175" s="316"/>
      <c r="U175" s="316"/>
      <c r="V175" s="317">
        <f>V168/8.4/100</f>
        <v>0.92772402597402603</v>
      </c>
      <c r="W175" s="315"/>
      <c r="X175" s="316"/>
      <c r="Y175" s="316"/>
      <c r="Z175" s="317">
        <f>Z168/8.4/100</f>
        <v>0.99921790617848982</v>
      </c>
      <c r="AA175" s="315"/>
      <c r="AB175" s="316"/>
      <c r="AC175" s="316"/>
      <c r="AD175" s="317">
        <f>AD168/8.4/100</f>
        <v>0.9545467532467532</v>
      </c>
      <c r="AE175" s="315"/>
      <c r="AF175" s="316"/>
      <c r="AG175" s="316"/>
      <c r="AH175" s="317">
        <f>AH168/8.4/100</f>
        <v>0.87673923216719685</v>
      </c>
      <c r="AI175" s="315"/>
      <c r="AJ175" s="316"/>
      <c r="AK175" s="316"/>
      <c r="AL175" s="317">
        <f>AL168/8.4/100</f>
        <v>0.86170692651439917</v>
      </c>
      <c r="AM175" s="315"/>
      <c r="AN175" s="316"/>
      <c r="AO175" s="316"/>
      <c r="AP175" s="317">
        <f>AP168/8.4/100</f>
        <v>0.77230065464426867</v>
      </c>
      <c r="AQ175" s="315"/>
      <c r="AR175" s="316"/>
      <c r="AS175" s="316"/>
      <c r="AT175" s="317">
        <f>AT168/8.4/100</f>
        <v>0.97139781746031739</v>
      </c>
      <c r="AU175" s="315"/>
      <c r="AV175" s="316"/>
      <c r="AW175" s="316"/>
      <c r="AX175" s="317">
        <f>AX168/8.4/100</f>
        <v>0.71306926406926407</v>
      </c>
      <c r="AY175" s="315"/>
      <c r="AZ175" s="316"/>
      <c r="BA175" s="316"/>
      <c r="BB175" s="317">
        <f>BB168/8.4/100</f>
        <v>0.94826765141305236</v>
      </c>
      <c r="BC175" s="315"/>
      <c r="BD175" s="316"/>
      <c r="BE175" s="316"/>
      <c r="BF175" s="317">
        <f>BF168/8.4/100</f>
        <v>0.88350614467428046</v>
      </c>
    </row>
    <row r="176" spans="2:61" ht="18" thickBot="1" x14ac:dyDescent="0.35">
      <c r="B176" s="754"/>
      <c r="C176" s="651" t="s">
        <v>147</v>
      </c>
      <c r="D176" s="652"/>
      <c r="E176" s="652"/>
      <c r="F176" s="652"/>
      <c r="G176" s="652"/>
      <c r="H176" s="652"/>
      <c r="I176" s="652"/>
      <c r="J176" s="653"/>
      <c r="K176" s="615">
        <f>K169/(8.4*4)/100</f>
        <v>0.84931926426743776</v>
      </c>
      <c r="L176" s="616"/>
      <c r="M176" s="616"/>
      <c r="N176" s="617"/>
      <c r="O176" s="615">
        <f>O169/(8.4*4)/100</f>
        <v>0.84533432730840319</v>
      </c>
      <c r="P176" s="616"/>
      <c r="Q176" s="616"/>
      <c r="R176" s="617"/>
      <c r="S176" s="615">
        <f>S169/(8.4*4)/100</f>
        <v>0.67521867953893266</v>
      </c>
      <c r="T176" s="616"/>
      <c r="U176" s="616"/>
      <c r="V176" s="617"/>
      <c r="W176" s="615">
        <f>W169/(8.4*4)/100</f>
        <v>0.84285955416824843</v>
      </c>
      <c r="X176" s="616"/>
      <c r="Y176" s="616"/>
      <c r="Z176" s="617"/>
      <c r="AA176" s="615">
        <f>AA169/(8.4*4)/100</f>
        <v>0.93650390631790015</v>
      </c>
      <c r="AB176" s="616"/>
      <c r="AC176" s="616"/>
      <c r="AD176" s="617"/>
      <c r="AE176" s="615">
        <f>AE169/(8.4*4)/100</f>
        <v>0.64958079410847802</v>
      </c>
      <c r="AF176" s="616"/>
      <c r="AG176" s="616"/>
      <c r="AH176" s="617"/>
      <c r="AI176" s="615">
        <f>AI169/(8.4*4)/100</f>
        <v>0.63183178275857932</v>
      </c>
      <c r="AJ176" s="616"/>
      <c r="AK176" s="616"/>
      <c r="AL176" s="617"/>
      <c r="AM176" s="615">
        <f>AM169/(8.4*4)/100</f>
        <v>0.83913402526034775</v>
      </c>
      <c r="AN176" s="616"/>
      <c r="AO176" s="616"/>
      <c r="AP176" s="617"/>
      <c r="AQ176" s="615">
        <f>AQ169/(8.4*4)/100</f>
        <v>0.93957125420655685</v>
      </c>
      <c r="AR176" s="616"/>
      <c r="AS176" s="616"/>
      <c r="AT176" s="617"/>
      <c r="AU176" s="615">
        <f>AU169/(8.4*4)/100</f>
        <v>0.60462528958908623</v>
      </c>
      <c r="AV176" s="616"/>
      <c r="AW176" s="616"/>
      <c r="AX176" s="617"/>
      <c r="AY176" s="615">
        <f>AY169/(8.4*4)/100</f>
        <v>0.72496384116109058</v>
      </c>
      <c r="AZ176" s="616"/>
      <c r="BA176" s="616"/>
      <c r="BB176" s="617"/>
      <c r="BC176" s="615">
        <f>BC169/(8.4*4)/100</f>
        <v>0.87761180247971748</v>
      </c>
      <c r="BD176" s="616"/>
      <c r="BE176" s="616"/>
      <c r="BF176" s="617"/>
    </row>
    <row r="177" spans="2:58" x14ac:dyDescent="0.3">
      <c r="B177" s="754"/>
      <c r="C177" s="5"/>
      <c r="D177" s="5"/>
      <c r="E177" s="5"/>
      <c r="F177" s="5"/>
      <c r="G177" s="5"/>
      <c r="H177" s="5"/>
      <c r="I177" s="5"/>
      <c r="J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2:58" ht="14.5" thickBot="1" x14ac:dyDescent="0.35">
      <c r="B178" s="754"/>
      <c r="C178" s="5"/>
      <c r="D178" s="5"/>
      <c r="E178" s="5"/>
      <c r="F178" s="5"/>
      <c r="G178" s="5"/>
      <c r="H178" s="5"/>
      <c r="I178" s="5"/>
      <c r="J178" s="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2:58" s="6" customFormat="1" ht="20.25" customHeight="1" x14ac:dyDescent="0.3">
      <c r="B179" s="754"/>
      <c r="C179" s="654" t="s">
        <v>167</v>
      </c>
      <c r="D179" s="655"/>
      <c r="E179" s="655"/>
      <c r="F179" s="655"/>
      <c r="G179" s="655"/>
      <c r="H179" s="655"/>
      <c r="I179" s="655"/>
      <c r="J179" s="656"/>
      <c r="K179" s="507">
        <f>RANK(K165,$K165:$BF165)</f>
        <v>6</v>
      </c>
      <c r="L179" s="474"/>
      <c r="M179" s="474"/>
      <c r="N179" s="475"/>
      <c r="O179" s="507">
        <f>RANK(O165,$K165:$BF165)</f>
        <v>3</v>
      </c>
      <c r="P179" s="474"/>
      <c r="Q179" s="474"/>
      <c r="R179" s="475"/>
      <c r="S179" s="507">
        <f>RANK(S165,$K165:$BF165)</f>
        <v>10</v>
      </c>
      <c r="T179" s="474"/>
      <c r="U179" s="474"/>
      <c r="V179" s="475"/>
      <c r="W179" s="507">
        <f t="shared" ref="W179" si="122">RANK(W165,$K165:$BF165)</f>
        <v>8</v>
      </c>
      <c r="X179" s="474"/>
      <c r="Y179" s="474"/>
      <c r="Z179" s="475"/>
      <c r="AA179" s="507">
        <f t="shared" ref="AA179" si="123">RANK(AA165,$K165:$BF165)</f>
        <v>1</v>
      </c>
      <c r="AB179" s="474"/>
      <c r="AC179" s="474"/>
      <c r="AD179" s="475"/>
      <c r="AE179" s="507">
        <f t="shared" ref="AE179" si="124">RANK(AE165,$K165:$BF165)</f>
        <v>11</v>
      </c>
      <c r="AF179" s="474"/>
      <c r="AG179" s="474"/>
      <c r="AH179" s="475"/>
      <c r="AI179" s="507">
        <f t="shared" ref="AI179" si="125">RANK(AI165,$K165:$BF165)</f>
        <v>12</v>
      </c>
      <c r="AJ179" s="474"/>
      <c r="AK179" s="474"/>
      <c r="AL179" s="475"/>
      <c r="AM179" s="507">
        <f t="shared" ref="AM179" si="126">RANK(AM165,$K165:$BF165)</f>
        <v>2</v>
      </c>
      <c r="AN179" s="474"/>
      <c r="AO179" s="474"/>
      <c r="AP179" s="475"/>
      <c r="AQ179" s="507">
        <f t="shared" ref="AQ179" si="127">RANK(AQ165,$K165:$BF165)</f>
        <v>4</v>
      </c>
      <c r="AR179" s="474"/>
      <c r="AS179" s="474"/>
      <c r="AT179" s="475"/>
      <c r="AU179" s="507">
        <f t="shared" ref="AU179" si="128">RANK(AU165,$K165:$BF165)</f>
        <v>9</v>
      </c>
      <c r="AV179" s="474"/>
      <c r="AW179" s="474"/>
      <c r="AX179" s="475"/>
      <c r="AY179" s="507">
        <f t="shared" ref="AY179" si="129">RANK(AY165,$K165:$BF165)</f>
        <v>7</v>
      </c>
      <c r="AZ179" s="474"/>
      <c r="BA179" s="474"/>
      <c r="BB179" s="475"/>
      <c r="BC179" s="507">
        <f t="shared" ref="BC179" si="130">RANK(BC165,$K165:$BF165)</f>
        <v>5</v>
      </c>
      <c r="BD179" s="474"/>
      <c r="BE179" s="474"/>
      <c r="BF179" s="475"/>
    </row>
    <row r="180" spans="2:58" s="6" customFormat="1" ht="20.25" customHeight="1" x14ac:dyDescent="0.3">
      <c r="B180" s="754"/>
      <c r="C180" s="618" t="s">
        <v>168</v>
      </c>
      <c r="D180" s="619"/>
      <c r="E180" s="619"/>
      <c r="F180" s="619"/>
      <c r="G180" s="619"/>
      <c r="H180" s="619"/>
      <c r="I180" s="619"/>
      <c r="J180" s="620"/>
      <c r="K180" s="508">
        <f>RANK(L166,$K166:$BE166)</f>
        <v>5</v>
      </c>
      <c r="L180" s="477"/>
      <c r="M180" s="477"/>
      <c r="N180" s="478"/>
      <c r="O180" s="508">
        <f>RANK(P166,$K166:$BE166)</f>
        <v>9</v>
      </c>
      <c r="P180" s="477"/>
      <c r="Q180" s="477"/>
      <c r="R180" s="478"/>
      <c r="S180" s="508">
        <f>RANK(T166,$K166:$BE166)</f>
        <v>10</v>
      </c>
      <c r="T180" s="477"/>
      <c r="U180" s="477"/>
      <c r="V180" s="478"/>
      <c r="W180" s="508">
        <f t="shared" ref="W180" si="131">RANK(X166,$K166:$BE166)</f>
        <v>12</v>
      </c>
      <c r="X180" s="477"/>
      <c r="Y180" s="477"/>
      <c r="Z180" s="478"/>
      <c r="AA180" s="508">
        <f t="shared" ref="AA180" si="132">RANK(AB166,$K166:$BE166)</f>
        <v>6</v>
      </c>
      <c r="AB180" s="477"/>
      <c r="AC180" s="477"/>
      <c r="AD180" s="478"/>
      <c r="AE180" s="508">
        <f t="shared" ref="AE180" si="133">RANK(AF166,$K166:$BE166)</f>
        <v>2</v>
      </c>
      <c r="AF180" s="477"/>
      <c r="AG180" s="477"/>
      <c r="AH180" s="478"/>
      <c r="AI180" s="508">
        <f t="shared" ref="AI180" si="134">RANK(AJ166,$K166:$BE166)</f>
        <v>7</v>
      </c>
      <c r="AJ180" s="477"/>
      <c r="AK180" s="477"/>
      <c r="AL180" s="478"/>
      <c r="AM180" s="508">
        <f t="shared" ref="AM180" si="135">RANK(AN166,$K166:$BE166)</f>
        <v>11</v>
      </c>
      <c r="AN180" s="477"/>
      <c r="AO180" s="477"/>
      <c r="AP180" s="478"/>
      <c r="AQ180" s="508">
        <f t="shared" ref="AQ180" si="136">RANK(AR166,$K166:$BE166)</f>
        <v>3</v>
      </c>
      <c r="AR180" s="477"/>
      <c r="AS180" s="477"/>
      <c r="AT180" s="478"/>
      <c r="AU180" s="508">
        <f t="shared" ref="AU180" si="137">RANK(AV166,$K166:$BE166)</f>
        <v>4</v>
      </c>
      <c r="AV180" s="477"/>
      <c r="AW180" s="477"/>
      <c r="AX180" s="478"/>
      <c r="AY180" s="508">
        <f t="shared" ref="AY180" si="138">RANK(AZ166,$K166:$BE166)</f>
        <v>8</v>
      </c>
      <c r="AZ180" s="477"/>
      <c r="BA180" s="477"/>
      <c r="BB180" s="478"/>
      <c r="BC180" s="508">
        <f>RANK(BD166,$K166:$BF166)</f>
        <v>1</v>
      </c>
      <c r="BD180" s="477"/>
      <c r="BE180" s="477"/>
      <c r="BF180" s="478"/>
    </row>
    <row r="181" spans="2:58" s="6" customFormat="1" ht="20.25" customHeight="1" x14ac:dyDescent="0.3">
      <c r="B181" s="754"/>
      <c r="C181" s="621" t="s">
        <v>169</v>
      </c>
      <c r="D181" s="622"/>
      <c r="E181" s="622"/>
      <c r="F181" s="622"/>
      <c r="G181" s="622"/>
      <c r="H181" s="622"/>
      <c r="I181" s="622"/>
      <c r="J181" s="623"/>
      <c r="K181" s="509">
        <f>RANK(M167,$K167:$BE167)</f>
        <v>7</v>
      </c>
      <c r="L181" s="480"/>
      <c r="M181" s="480"/>
      <c r="N181" s="481"/>
      <c r="O181" s="509">
        <f>RANK(Q167,$K167:$BE167)</f>
        <v>5</v>
      </c>
      <c r="P181" s="480"/>
      <c r="Q181" s="480"/>
      <c r="R181" s="481"/>
      <c r="S181" s="509">
        <f>RANK(U167,$K167:$BE167)</f>
        <v>9</v>
      </c>
      <c r="T181" s="480"/>
      <c r="U181" s="480"/>
      <c r="V181" s="481"/>
      <c r="W181" s="509">
        <f t="shared" ref="W181" si="139">RANK(Y167,$K167:$BE167)</f>
        <v>2</v>
      </c>
      <c r="X181" s="480"/>
      <c r="Y181" s="480"/>
      <c r="Z181" s="481"/>
      <c r="AA181" s="509">
        <f t="shared" ref="AA181" si="140">RANK(AC167,$K167:$BE167)</f>
        <v>1</v>
      </c>
      <c r="AB181" s="480"/>
      <c r="AC181" s="480"/>
      <c r="AD181" s="481"/>
      <c r="AE181" s="509">
        <f t="shared" ref="AE181" si="141">RANK(AG167,$K167:$BE167)</f>
        <v>11</v>
      </c>
      <c r="AF181" s="480"/>
      <c r="AG181" s="480"/>
      <c r="AH181" s="481"/>
      <c r="AI181" s="509">
        <f t="shared" ref="AI181" si="142">RANK(AK167,$K167:$BE167)</f>
        <v>8</v>
      </c>
      <c r="AJ181" s="480"/>
      <c r="AK181" s="480"/>
      <c r="AL181" s="481"/>
      <c r="AM181" s="509">
        <f t="shared" ref="AM181" si="143">RANK(AO167,$K167:$BE167)</f>
        <v>3</v>
      </c>
      <c r="AN181" s="480"/>
      <c r="AO181" s="480"/>
      <c r="AP181" s="481"/>
      <c r="AQ181" s="509">
        <f t="shared" ref="AQ181" si="144">RANK(AS167,$K167:$BE167)</f>
        <v>4</v>
      </c>
      <c r="AR181" s="480"/>
      <c r="AS181" s="480"/>
      <c r="AT181" s="481"/>
      <c r="AU181" s="509">
        <f t="shared" ref="AU181" si="145">RANK(AW167,$K167:$BE167)</f>
        <v>12</v>
      </c>
      <c r="AV181" s="480"/>
      <c r="AW181" s="480"/>
      <c r="AX181" s="481"/>
      <c r="AY181" s="509">
        <f t="shared" ref="AY181" si="146">RANK(BA167,$K167:$BE167)</f>
        <v>10</v>
      </c>
      <c r="AZ181" s="480"/>
      <c r="BA181" s="480"/>
      <c r="BB181" s="481"/>
      <c r="BC181" s="509">
        <f t="shared" ref="BC181" si="147">RANK(BE167,$K167:$BE167)</f>
        <v>6</v>
      </c>
      <c r="BD181" s="480"/>
      <c r="BE181" s="480"/>
      <c r="BF181" s="481"/>
    </row>
    <row r="182" spans="2:58" s="6" customFormat="1" ht="20.25" customHeight="1" thickBot="1" x14ac:dyDescent="0.35">
      <c r="B182" s="754"/>
      <c r="C182" s="606" t="s">
        <v>296</v>
      </c>
      <c r="D182" s="607"/>
      <c r="E182" s="607"/>
      <c r="F182" s="607"/>
      <c r="G182" s="607"/>
      <c r="H182" s="607"/>
      <c r="I182" s="607"/>
      <c r="J182" s="608"/>
      <c r="K182" s="506">
        <f t="shared" ref="K182" si="148">RANK(N168,$K168:$BF168)</f>
        <v>2</v>
      </c>
      <c r="L182" s="483"/>
      <c r="M182" s="483"/>
      <c r="N182" s="484"/>
      <c r="O182" s="506">
        <f t="shared" ref="O182" si="149">RANK(R168,$K168:$BF168)</f>
        <v>11</v>
      </c>
      <c r="P182" s="483"/>
      <c r="Q182" s="483"/>
      <c r="R182" s="484"/>
      <c r="S182" s="506">
        <f t="shared" ref="S182" si="150">RANK(V168,$K168:$BF168)</f>
        <v>6</v>
      </c>
      <c r="T182" s="483"/>
      <c r="U182" s="483"/>
      <c r="V182" s="484"/>
      <c r="W182" s="506">
        <f t="shared" ref="W182" si="151">RANK(Z168,$K168:$BF168)</f>
        <v>1</v>
      </c>
      <c r="X182" s="483"/>
      <c r="Y182" s="483"/>
      <c r="Z182" s="484"/>
      <c r="AA182" s="506">
        <f t="shared" ref="AA182" si="152">RANK(AD168,$K168:$BF168)</f>
        <v>4</v>
      </c>
      <c r="AB182" s="483"/>
      <c r="AC182" s="483"/>
      <c r="AD182" s="484"/>
      <c r="AE182" s="506">
        <f t="shared" ref="AE182" si="153">RANK(AH168,$K168:$BF168)</f>
        <v>8</v>
      </c>
      <c r="AF182" s="483"/>
      <c r="AG182" s="483"/>
      <c r="AH182" s="484"/>
      <c r="AI182" s="506">
        <f t="shared" ref="AI182" si="154">RANK(AL168,$K168:$BF168)</f>
        <v>9</v>
      </c>
      <c r="AJ182" s="483"/>
      <c r="AK182" s="483"/>
      <c r="AL182" s="484"/>
      <c r="AM182" s="506">
        <f t="shared" ref="AM182" si="155">RANK(AP168,$K168:$BF168)</f>
        <v>10</v>
      </c>
      <c r="AN182" s="483"/>
      <c r="AO182" s="483"/>
      <c r="AP182" s="484"/>
      <c r="AQ182" s="506">
        <f t="shared" ref="AQ182" si="156">RANK(AT168,$K168:$BF168)</f>
        <v>3</v>
      </c>
      <c r="AR182" s="483"/>
      <c r="AS182" s="483"/>
      <c r="AT182" s="484"/>
      <c r="AU182" s="506">
        <f t="shared" ref="AU182" si="157">RANK(AX168,$K168:$BF168)</f>
        <v>12</v>
      </c>
      <c r="AV182" s="483"/>
      <c r="AW182" s="483"/>
      <c r="AX182" s="484"/>
      <c r="AY182" s="506">
        <f t="shared" ref="AY182" si="158">RANK(BB168,$K168:$BF168)</f>
        <v>5</v>
      </c>
      <c r="AZ182" s="483"/>
      <c r="BA182" s="483"/>
      <c r="BB182" s="484"/>
      <c r="BC182" s="506">
        <f>RANK(BF168,$K168:$BF168)</f>
        <v>7</v>
      </c>
      <c r="BD182" s="483"/>
      <c r="BE182" s="483"/>
      <c r="BF182" s="484"/>
    </row>
    <row r="183" spans="2:58" ht="41.25" customHeight="1" thickBot="1" x14ac:dyDescent="0.35">
      <c r="B183" s="755"/>
      <c r="C183" s="624" t="s">
        <v>170</v>
      </c>
      <c r="D183" s="625"/>
      <c r="E183" s="625"/>
      <c r="F183" s="625"/>
      <c r="G183" s="625"/>
      <c r="H183" s="625"/>
      <c r="I183" s="625"/>
      <c r="J183" s="626"/>
      <c r="K183" s="605">
        <f>RANK(K169,$K169:$BE169)</f>
        <v>4</v>
      </c>
      <c r="L183" s="526"/>
      <c r="M183" s="526"/>
      <c r="N183" s="527"/>
      <c r="O183" s="605">
        <f>RANK(O169,$K169:$BE169)</f>
        <v>5</v>
      </c>
      <c r="P183" s="526"/>
      <c r="Q183" s="526"/>
      <c r="R183" s="527"/>
      <c r="S183" s="605">
        <f>RANK(S169,$K169:$BE169)</f>
        <v>9</v>
      </c>
      <c r="T183" s="526"/>
      <c r="U183" s="526"/>
      <c r="V183" s="527"/>
      <c r="W183" s="605">
        <f t="shared" ref="W183" si="159">RANK(W169,$K169:$BE169)</f>
        <v>6</v>
      </c>
      <c r="X183" s="526"/>
      <c r="Y183" s="526"/>
      <c r="Z183" s="527"/>
      <c r="AA183" s="605">
        <f t="shared" ref="AA183" si="160">RANK(AA169,$K169:$BE169)</f>
        <v>2</v>
      </c>
      <c r="AB183" s="526"/>
      <c r="AC183" s="526"/>
      <c r="AD183" s="527"/>
      <c r="AE183" s="605">
        <f t="shared" ref="AE183" si="161">RANK(AE169,$K169:$BE169)</f>
        <v>10</v>
      </c>
      <c r="AF183" s="526"/>
      <c r="AG183" s="526"/>
      <c r="AH183" s="527"/>
      <c r="AI183" s="605">
        <f t="shared" ref="AI183" si="162">RANK(AI169,$K169:$BE169)</f>
        <v>11</v>
      </c>
      <c r="AJ183" s="526"/>
      <c r="AK183" s="526"/>
      <c r="AL183" s="527"/>
      <c r="AM183" s="605">
        <f t="shared" ref="AM183" si="163">RANK(AM169,$K169:$BE169)</f>
        <v>7</v>
      </c>
      <c r="AN183" s="526"/>
      <c r="AO183" s="526"/>
      <c r="AP183" s="527"/>
      <c r="AQ183" s="605">
        <f t="shared" ref="AQ183" si="164">RANK(AQ169,$K169:$BE169)</f>
        <v>1</v>
      </c>
      <c r="AR183" s="526"/>
      <c r="AS183" s="526"/>
      <c r="AT183" s="527"/>
      <c r="AU183" s="605">
        <f t="shared" ref="AU183" si="165">RANK(AU169,$K169:$BE169)</f>
        <v>12</v>
      </c>
      <c r="AV183" s="526"/>
      <c r="AW183" s="526"/>
      <c r="AX183" s="527"/>
      <c r="AY183" s="605">
        <f t="shared" ref="AY183" si="166">RANK(AY169,$K169:$BE169)</f>
        <v>8</v>
      </c>
      <c r="AZ183" s="526"/>
      <c r="BA183" s="526"/>
      <c r="BB183" s="527"/>
      <c r="BC183" s="605">
        <f t="shared" ref="BC183" si="167">RANK(BC169,$K169:$BE169)</f>
        <v>3</v>
      </c>
      <c r="BD183" s="526"/>
      <c r="BE183" s="526"/>
      <c r="BF183" s="527"/>
    </row>
    <row r="184" spans="2:58" x14ac:dyDescent="0.3">
      <c r="K184"/>
    </row>
    <row r="185" spans="2:58" ht="14.5" thickBot="1" x14ac:dyDescent="0.35">
      <c r="L185" s="1"/>
      <c r="M185" s="1"/>
      <c r="N185" s="1"/>
    </row>
    <row r="186" spans="2:58" ht="18" customHeight="1" thickBot="1" x14ac:dyDescent="0.35">
      <c r="K186" s="540" t="s">
        <v>161</v>
      </c>
      <c r="L186" s="541"/>
      <c r="M186" s="541"/>
      <c r="N186" s="541"/>
      <c r="O186" s="541"/>
      <c r="P186" s="541"/>
      <c r="Q186" s="541"/>
      <c r="R186" s="541"/>
      <c r="S186" s="541"/>
      <c r="T186" s="541"/>
      <c r="U186" s="541"/>
      <c r="V186" s="541"/>
      <c r="W186" s="541"/>
      <c r="X186" s="541"/>
      <c r="Y186" s="541"/>
      <c r="Z186" s="541"/>
      <c r="AA186" s="541"/>
      <c r="AB186" s="541"/>
      <c r="AC186" s="541"/>
      <c r="AD186" s="541"/>
      <c r="AE186" s="541"/>
      <c r="AF186" s="541"/>
      <c r="AG186" s="541"/>
      <c r="AH186" s="541"/>
      <c r="AI186" s="541"/>
      <c r="AJ186" s="541"/>
      <c r="AK186" s="541"/>
      <c r="AL186" s="541"/>
      <c r="AM186" s="541"/>
      <c r="AN186" s="541"/>
      <c r="AO186" s="541"/>
      <c r="AP186" s="541"/>
      <c r="AQ186" s="541"/>
      <c r="AR186" s="542"/>
    </row>
    <row r="187" spans="2:58" ht="23.5" customHeight="1" thickBot="1" x14ac:dyDescent="0.35">
      <c r="K187" s="747" t="s">
        <v>152</v>
      </c>
      <c r="L187" s="748"/>
      <c r="M187" s="748"/>
      <c r="N187" s="748"/>
      <c r="O187" s="748"/>
      <c r="P187" s="748"/>
      <c r="Q187" s="749"/>
      <c r="T187" s="590" t="s">
        <v>153</v>
      </c>
      <c r="U187" s="591"/>
      <c r="V187" s="591"/>
      <c r="W187" s="591"/>
      <c r="X187" s="591"/>
      <c r="Y187" s="591"/>
      <c r="Z187" s="592"/>
      <c r="AC187" s="750" t="s">
        <v>154</v>
      </c>
      <c r="AD187" s="751"/>
      <c r="AE187" s="751"/>
      <c r="AF187" s="751"/>
      <c r="AG187" s="751"/>
      <c r="AH187" s="751"/>
      <c r="AI187" s="752"/>
      <c r="AL187" s="609" t="s">
        <v>243</v>
      </c>
      <c r="AM187" s="610"/>
      <c r="AN187" s="610"/>
      <c r="AO187" s="610"/>
      <c r="AP187" s="610"/>
      <c r="AQ187" s="610"/>
      <c r="AR187" s="611"/>
    </row>
    <row r="188" spans="2:58" x14ac:dyDescent="0.3">
      <c r="K188" s="53" t="s">
        <v>214</v>
      </c>
      <c r="L188" s="54" t="s">
        <v>220</v>
      </c>
      <c r="M188" s="57" t="str">
        <f>IF(K179=1,K13,IF(O$179=1,O$13,IF(S$179=1,S$13,IF(W$179=1,W$13,IF(AA$179=1,AA$13,IF(AE$179=1,AE$13,IF(AI$179=1,AI$13,IF(AM$179=1,AM$13,IF(AQ$179=1,AQ$13,IF(AU$179=1,AU$13,IF(AY$179=1,AY$13,IF(BC$179=1,BC$13,""))))))))))))</f>
        <v>E</v>
      </c>
      <c r="N188" s="584" t="str">
        <f>IF(K$179=1,K$14,IF(O$179=1,O$14,IF(S$179=1,S$14,IF(W$179=1,W$14,IF(AA$179=1,AA$14,IF(AE$179=1,AE$14,IF(AI$179=1,AI$14,IF(AM$179=1,AM$14,IF(AQ$179=1,AQ$14,IF(AU$179=1,AU$14,IF(AY$179=1,AY$14,IF(BC$179=1,BC$14,""))))))))))))</f>
        <v>Stefano</v>
      </c>
      <c r="O188" s="586"/>
      <c r="P188" s="459">
        <f>IF($K$179=1,$K$165,IF($O$179=1,$O$165,IF($S$179=1,$S$165,IF($W$179=1,$W$165,IF($AA$179=1,$AA$165,IF($AE$179=1,$AE$165,IF($AI$179=1,$AI$165,IF($AM$179=1,$AM$165,IF($AQ$179=1,$AQ$165,IF($AU$179=1,$AU$165,IF($AY$179=1,$AY$165,IF($BC$179=1,$BC$165,""))))))))))))</f>
        <v>755.53800000000001</v>
      </c>
      <c r="Q188" s="471">
        <f>P188/840</f>
        <v>0.89944999999999997</v>
      </c>
      <c r="T188" s="62" t="s">
        <v>214</v>
      </c>
      <c r="U188" s="63" t="s">
        <v>192</v>
      </c>
      <c r="V188" s="63" t="str">
        <f>IF(K180=1,K13,IF(O$180=1,O$13,IF(S$180=1,S$13,IF(W$180=1,W$13,IF(AA$180=1,AA$13,IF(AE$180=1,AE$13,IF(AI$180=1,AI$13,IF(AM$180=1,AM$13,IF(AQ$180=1,AQ$13,IF(AU$180=1,AU$13,IF(AY$180=1,AY$13,IF(BC$180=1,BC$13,""))))))))))))</f>
        <v>L</v>
      </c>
      <c r="W188" s="593" t="str">
        <f>IF(K180=1,K14,IF(O$180=1,O$14,IF(S$180=1,S$14,IF(W$180=1,W$14,IF(AA$180=1,AA$14,IF(AE$180=1,AE$14,IF(AI$180=1,AI$14,IF(AM$180=1,AM$14,IF(AQ$180=1,AQ$14,IF(AU$180=1,AU$14,IF(AY$180=1,AY$14,IF(BC$180=1,BC$14,""))))))))))))</f>
        <v>Massimo</v>
      </c>
      <c r="X188" s="595"/>
      <c r="Y188" s="454">
        <f>IF($K$180=1,$L$166,IF($O$180=1,$P$166,IF($S$180=1,$T$166,IF($W$180=1,$X$166,IF($AA$180=1,$AB$166,IF($AE$180=1,$AF$166,IF($AI$180=1,$AJ$166,IF($AM$180=1,$AN$166,IF($AQ$180=1,$AR$166,IF($AU$180=1,$AV$166,IF($AY$180=1,$AZ$166,IF($BC$180=1,$BD$166,""))))))))))))</f>
        <v>839.42249480545524</v>
      </c>
      <c r="Z188" s="465">
        <f>Y188/840</f>
        <v>0.99931249381601817</v>
      </c>
      <c r="AC188" s="71" t="s">
        <v>214</v>
      </c>
      <c r="AD188" s="72" t="s">
        <v>206</v>
      </c>
      <c r="AE188" s="72" t="str">
        <f>IF(K181=1,K13,IF(O$181=1,O$13,IF(S$181=1,S$13,IF(W$181=1,W$13,IF(AA$181=1,AA$13,IF(AE$181=1,AE$13,IF(AI$181=1,AI$13,IF(AM$181=1,AM$13,IF(AQ$181=1,AQ$13,IF(AU$181=1,AU$13,IF(AY$181=1,AY$13,IF(BC$181=1,BC$13,""))))))))))))</f>
        <v>E</v>
      </c>
      <c r="AF188" s="545" t="str">
        <f>IF(K181=1,K14,IF(O$181=1,O$14,IF(S$181=1,S$14,IF(W$181=1,W$14,IF(AA$181=1,AA$14,IF(AE$181=1,AE$14,IF(AI$181=1,AI$14,IF(AM$181=1,AM$14,IF(AQ$181=1,AQ$14,IF(AU$181=1,AU$14,IF(AY$181=1,AY$14,IF(BC$181=1,BC$14,""))))))))))))</f>
        <v>Stefano</v>
      </c>
      <c r="AG188" s="547"/>
      <c r="AH188" s="456">
        <f>IF($K$181=1,$M$167,IF($O$181=1,$Q$167,IF($S$181=1,$U$167,IF($W$181=1,$Y$167,IF($AA$181=1,$AC$167,IF($AE$181=1,$AG$167,IF($AI$181=1,$AK$167,IF($AM$181=1,$AO$167,IF($AQ$181=1,$AS$167,IF($AU$181=1,$AW$167,IF($AY$181=1,$BA$167,IF($BC$181=1,$BE$167,""))))))))))))</f>
        <v>839.67000000000007</v>
      </c>
      <c r="AI188" s="461">
        <f>AH188/840</f>
        <v>0.99960714285714292</v>
      </c>
      <c r="AL188" s="185" t="s">
        <v>214</v>
      </c>
      <c r="AM188" s="186" t="s">
        <v>289</v>
      </c>
      <c r="AN188" s="186" t="str">
        <f>IF(K182=1,K13,IF(O$182=1,O$13,IF(S$182=1,S$13,IF(W$182=1,W$13,IF(AA$182=1,AA$13,IF(AE$182=1,AE$13,IF(AI$182=1,AI$13,IF(AM$182=1,AM$13,IF(AQ$182=1,AQ$13,IF(AU$182=1,AU$13,IF(AY$182=1,AY$13,IF(BC$182=1,BC$13,""))))))))))))</f>
        <v>D</v>
      </c>
      <c r="AO188" s="560" t="str">
        <f>IF(K182=1,K14,IF(O$182=1,O$14,IF(S$182=1,S$14,IF(W$182=1,W$14,IF(AA$182=1,AA$14,IF(AE$182=1,AE$14,IF(AI$182=1,AI$14,IF(AM$182=1,AM$14,IF(AQ$182=1,AQ$14,IF(AU$182=1,AU$14,IF(AY$182=1,AY$14,IF(BC$182=1,BC$14,""))))))))))))</f>
        <v>Alberto</v>
      </c>
      <c r="AP188" s="562"/>
      <c r="AQ188" s="186">
        <f>IF($K$182=1,$N$168,IF($O$182=1,$R$168,IF($S$182=1,$V$168,IF($W$182=1,$Z$168,IF($AA$182=1,$AD$168,IF($AE$182=1,$AH$168,IF($AI$182=1,$AL$168,IF($AM$182=1,$AP$168,IF($AQ$182=1,$AT$168,IF($AU$182=1,$AX$168,IF($AY$182=1,$BB$168,IF($BC$182=1,$BF$168,""))))))))))))</f>
        <v>839.34304118993145</v>
      </c>
      <c r="AR188" s="468">
        <f>AQ188/840</f>
        <v>0.99921790617848982</v>
      </c>
    </row>
    <row r="189" spans="2:58" x14ac:dyDescent="0.3">
      <c r="K189" s="56" t="s">
        <v>215</v>
      </c>
      <c r="L189" s="57" t="s">
        <v>221</v>
      </c>
      <c r="M189" s="57" t="str">
        <f>IF(K179=2,K13,IF(O$179=2,O$13,IF(S$179=2,S$13,IF(W$179=2,W$13,IF(AA$179=2,AA$13,IF(AE$179=2,AE$13,IF(AI$179=2,AI$13,IF(AM$179=2,AM$13,IF(AQ$179=2,AQ$13,IF(AU$179=2,AU$13,IF(AY$179=2,AY$13,IF(BC$179=2,BC$13,""))))))))))))</f>
        <v>H</v>
      </c>
      <c r="N189" s="584" t="str">
        <f>IF(K$179=2,K$14,IF(O$179=2,O$14,IF(S$179=2,S$14,IF(W$179=2,W$14,IF(AA$179=2,AA$14,IF(AE$179=2,AE$14,IF(AI$179=2,AI$14,IF(AM$179=2,AM$14,IF(AQ$179=2,AQ$14,IF(AU$179=2,AU$14,IF(AY$179=2,AY$14,IF(BC$179=2,BC$14,""))))))))))))</f>
        <v>Gianluca</v>
      </c>
      <c r="O189" s="586"/>
      <c r="P189" s="459">
        <f>IF($K179=2,$K165,IF($O179=2,$O165,IF($S179=2,$S165,IF($W179=2,$W165,IF($AA179=2,$AA165,IF($AE179=2,$AE165,IF($AI179=2,$AI165,IF($AM179=2,$AM165,IF($AQ179=2,$AQ165,IF($AU179=2,$AU165,IF($AY179=2,$AY165,IF($BC179=2,$BC165,""))))))))))))</f>
        <v>734.7059999999999</v>
      </c>
      <c r="Q189" s="471">
        <f t="shared" ref="Q189:Q192" si="168">P189/840</f>
        <v>0.87464999999999993</v>
      </c>
      <c r="T189" s="65" t="s">
        <v>215</v>
      </c>
      <c r="U189" s="66" t="s">
        <v>194</v>
      </c>
      <c r="V189" s="66" t="str">
        <f>IF(K180=2,K13,IF(O$180=2,O$13,IF(S$180=2,S$13,IF(W$180=2,W$13,IF(AA$180=2,AA$13,IF(AE$180=2,AE$13,IF(AI$180=2,AI$13,IF(AM$180=2,AM$13,IF(AQ$180=2,AQ$13,IF(AU$180=2,AU$13,IF(AY$180=2,AY$13,IF(BC$180=2,BC$13,""))))))))))))</f>
        <v>F</v>
      </c>
      <c r="W189" s="596" t="str">
        <f>IF(K180=2,K14,IF(O$180=2,O$14,IF(S$180=2,S$14,IF(W$180=2,W$14,IF(AA$180=2,AA$14,IF(AE$180=2,AE$14,IF(AI$180=2,AI$14,IF(AM$180=2,AM$14,IF(AQ$180=2,AQ$14,IF(AU$180=2,AU$14,IF(AY$180=2,AY$14,IF(BC$180=2,BC$14,""))))))))))))</f>
        <v>Camila</v>
      </c>
      <c r="X189" s="598"/>
      <c r="Y189" s="195">
        <f>IF($K$180=2,$L$166,IF($O$180=2,$P$166,IF($S$180=2,$T$166,IF($W$180=2,$X$166,IF($AA$180=2,$AB$166,IF($AE$180=2,$AF$166,IF($AI$180=2,$AJ$166,IF($AM$180=2,$AN$166,IF($AQ$180=2,$AR$166,IF($AU$180=2,$AV$166,IF($AY$180=2,$AZ$166,IF($BC$180=2,$BD$166,""))))))))))))</f>
        <v>832.72651318404087</v>
      </c>
      <c r="Z189" s="466">
        <f t="shared" ref="Z189:Z193" si="169">Y189/840</f>
        <v>0.99134108712385816</v>
      </c>
      <c r="AC189" s="74" t="s">
        <v>215</v>
      </c>
      <c r="AD189" s="75" t="s">
        <v>208</v>
      </c>
      <c r="AE189" s="75" t="str">
        <f>IF(K181=2,K13,IF(O$181=2,O$13,IF(S$181=2,S$13,IF(W$181=2,W$13,IF(AA$181=2,AA$13,IF(AE$181=2,AE$13,IF(AI$181=2,AI$13,IF(AM$181=2,AM$13,IF(AQ$181=2,AQ$13,IF(AU$181=2,AU$13,IF(AY$181=2,AY$13,IF(BC$181=2,BC$13,""))))))))))))</f>
        <v>D</v>
      </c>
      <c r="AF189" s="548" t="str">
        <f>IF(K181=2,K14,IF(O$181=2,O$14,IF(S$181=2,S$14,IF(W$181=2,W$14,IF(AA$181=2,AA$14,IF(AE$181=2,AE$14,IF(AI$181=2,AI$14,IF(AM$181=2,AM$14,IF(AQ$181=2,AQ$14,IF(AU$181=2,AU$14,IF(AY$181=2,AY$14,IF(BC$181=2,BC$14,""))))))))))))</f>
        <v>Alberto</v>
      </c>
      <c r="AG189" s="550"/>
      <c r="AH189" s="457">
        <f>IF($K$181=2,$M$167,IF($O$181=2,$Q$167,IF($S$181=2,$U$167,IF($W$181=2,$Y$167,IF($AA$181=2,$AC$167,IF($AE$181=2,$AG$167,IF($AI$181=2,$AK$167,IF($AM$181=2,$AO$167,IF($AQ$181=2,$AS$167,IF($AU$181=2,$AW$167,IF($AY$181=2,$BA$167,IF($BC$181=2,$BE$167,""))))))))))))</f>
        <v>824.4</v>
      </c>
      <c r="AI189" s="462">
        <f t="shared" ref="AI189:AI193" si="170">AH189/840</f>
        <v>0.98142857142857143</v>
      </c>
      <c r="AL189" s="187" t="s">
        <v>215</v>
      </c>
      <c r="AM189" s="188" t="s">
        <v>290</v>
      </c>
      <c r="AN189" s="188" t="str">
        <f>IF(K182=2,K13,IF(O$182=2,O$13,IF(S$182=2,S$13,IF(W$182=2,W$13,IF(AA$182=2,AA$13,IF(AE$182=2,AE$13,IF(AI$182=2,AI$13,IF(AM$182=2,AM$13,IF(AQ$182=2,AQ$13,IF(AU$182=2,AU$13,IF(AY$182=2,AY$13,IF(BC$182=2,BC$13,""))))))))))))</f>
        <v>A</v>
      </c>
      <c r="AO189" s="488" t="str">
        <f>IF(K182=2,K14,IF(O$182=2,O$14,IF(S$182=2,S$14,IF(W$182=2,W$14,IF(AA$182=2,AA$14,IF(AE$182=2,AE$14,IF(AI$182=2,AI$14,IF(AM$182=2,AM$14,IF(AQ$182=2,AQ$14,IF(AU$182=2,AU$14,IF(AY$182=2,AY$14,IF(BC$182=2,BC$14,""))))))))))))</f>
        <v>Gianni</v>
      </c>
      <c r="AP189" s="490"/>
      <c r="AQ189" s="188">
        <f>IF($K$182=2,$N$168,IF($O$182=2,$R$168,IF($S$182=2,$V$168,IF($W$182=2,$Z$168,IF($AA$182=2,$AD$168,IF($AE$182=2,$AH$168,IF($AI$182=2,$AL$168,IF($AM$182=2,$AP$168,IF($AQ$182=2,$AT$168,IF($AU$182=2,$AX$168,IF($AY$182=2,$BB$168,IF($BC$182=2,$BF$168,""))))))))))))</f>
        <v>827.83560803046714</v>
      </c>
      <c r="AR189" s="469">
        <f t="shared" ref="AR189:AR193" si="171">AQ189/840</f>
        <v>0.9855185809886513</v>
      </c>
    </row>
    <row r="190" spans="2:58" x14ac:dyDescent="0.3">
      <c r="K190" s="56" t="s">
        <v>216</v>
      </c>
      <c r="L190" s="57" t="s">
        <v>222</v>
      </c>
      <c r="M190" s="57" t="str">
        <f>IF(K179=3,K13,IF(O$179=3,O$13,IF(S$179=3,S$13,IF(W$179=3,W$13,IF(AA$179=3,AA$13,IF(AE$179=3,AE$13,IF(AI$179=3,AI$13,IF(AM$179=3,AM$13,IF(AQ$179=3,AQ$13,IF(AU$179=3,AU$13,IF(AY$179=3,AY$13,IF(BC$179=3,BC$13,""))))))))))))</f>
        <v>B</v>
      </c>
      <c r="N190" s="584" t="str">
        <f>IF(K$179=3,K$14,IF(O$179=3,O$14,IF(S$179=3,S$14,IF(W$179=3,W$14,IF(AA$179=3,AA$14,IF(AE$179=3,AE$14,IF(AI$179=3,AI$14,IF(AM$179=3,AM$14,IF(AQ$179=3,AQ$14,IF(AU$179=3,AU$14,IF(AY$179=3,AY$14,IF(BC$179=3,BC$14,""))))))))))))</f>
        <v>Pietro</v>
      </c>
      <c r="O190" s="586"/>
      <c r="P190" s="459">
        <f>IF($K179=3,$K165,IF($O179=3,$O165,IF($S179=3,$S165,IF($W179=3,$W165,IF($AA179=3,$AA165,IF($AE179=3,$AE165,IF($AI179=3,$AI165,IF($AM179=3,$AM165,IF($AQ179=3,$AQ165,IF($AU179=3,$AU165,IF($AY179=3,$AY165,IF($BC179=3,$BC165,""))))))))))))</f>
        <v>734.62199999999996</v>
      </c>
      <c r="Q190" s="471">
        <f t="shared" si="168"/>
        <v>0.87454999999999994</v>
      </c>
      <c r="T190" s="65" t="s">
        <v>216</v>
      </c>
      <c r="U190" s="66" t="s">
        <v>225</v>
      </c>
      <c r="V190" s="66" t="str">
        <f>IF(K180=3,K13,IF(O$180=3,O$13,IF(S$180=3,S$13,IF(W$180=3,W$13,IF(AA$180=3,AA$13,IF(AE$180=3,AE$13,IF(AI$180=3,AI$13,IF(AM$180=3,AM$13,IF(AQ$180=3,AQ$13,IF(AU$180=3,AU$13,IF(AY$180=3,AY$13,IF(BC$180=3,BC$13,""))))))))))))</f>
        <v>I</v>
      </c>
      <c r="W190" s="596" t="str">
        <f>IF(K180=3,K14,IF(O$180=3,O$14,IF(S$180=3,S$14,IF(W$180=3,W$14,IF(AA$180=3,AA$14,IF(AE$180=3,AE$14,IF(AI$180=3,AI$14,IF(AM$180=3,AM$14,IF(AQ$180=3,AQ$14,IF(AU$180=3,AU$14,IF(AY$180=3,AY$14,IF(BC$180=3,BC$14,""))))))))))))</f>
        <v>Alessandro</v>
      </c>
      <c r="X190" s="598"/>
      <c r="Y190" s="195">
        <f>IF($K$180=3,$L$166,IF($O$180=3,$P$166,IF($S$180=3,$T$166,IF($W$180=3,$X$166,IF($AA$180=3,$AB$166,IF($AE$180=3,$AF$166,IF($AI$180=3,$AJ$166,IF($AM$180=3,$AN$166,IF($AQ$180=3,$AR$166,IF($AU$180=3,$AV$166,IF($AY$180=3,$AZ$166,IF($BC$180=3,$BD$166,""))))))))))))</f>
        <v>817.93024746736512</v>
      </c>
      <c r="Z190" s="466">
        <f t="shared" si="169"/>
        <v>0.97372648508019655</v>
      </c>
      <c r="AC190" s="74" t="s">
        <v>216</v>
      </c>
      <c r="AD190" s="75" t="s">
        <v>202</v>
      </c>
      <c r="AE190" s="75" t="str">
        <f>IF(K181=3,K13,IF(O$181=3,O$13,IF(S$181=3,S$13,IF(W$181=3,W$13,IF(AA$181=3,AA$13,IF(AE$181=3,AE$13,IF(AI$181=3,AI$13,IF(AM$181=3,AM$13,IF(AQ$181=3,AQ$13,IF(AU$181=3,AU$13,IF(AY$181=3,AY$13,IF(BC$181=3,BC$13,""))))))))))))</f>
        <v>H</v>
      </c>
      <c r="AF190" s="548" t="str">
        <f>IF(K181=3,K14,IF(O$181=3,O$14,IF(S$181=3,S$14,IF(W$181=3,W$14,IF(AA$181=3,AA$14,IF(AE$181=3,AE$14,IF(AI$181=3,AI$14,IF(AM$181=3,AM$14,IF(AQ$181=3,AQ$14,IF(AU$181=3,AU$14,IF(AY$181=3,AY$14,IF(BC$181=3,BC$14,""))))))))))))</f>
        <v>Gianluca</v>
      </c>
      <c r="AG190" s="550"/>
      <c r="AH190" s="457">
        <f>IF($K$181=3,$M$167,IF($O$181=3,$Q$167,IF($S$181=3,$U$167,IF($W$181=3,$Y$167,IF($AA$181=3,$AC$167,IF($AE$181=3,$AG$167,IF($AI$181=3,$AK$167,IF($AM$181=3,$AO$167,IF($AQ$181=3,$AS$167,IF($AU$181=3,$AW$167,IF($AY$181=3,$BA$167,IF($BC$181=3,$BE$167,""))))))))))))</f>
        <v>809.53499999999997</v>
      </c>
      <c r="AI190" s="464">
        <f t="shared" si="170"/>
        <v>0.96373214285714282</v>
      </c>
      <c r="AL190" s="187" t="s">
        <v>216</v>
      </c>
      <c r="AM190" s="188" t="s">
        <v>291</v>
      </c>
      <c r="AN190" s="188" t="str">
        <f>IF(K182=3,K13,IF(O$182=3,O$13,IF(S$182=3,S$13,IF(W$182=3,W$13,IF(AA$182=3,AA$13,IF(AE$182=3,AE$13,IF(AI$182=3,AI$13,IF(AM$182=3,AM$13,IF(AQ$182=3,AQ$13,IF(AU$182=3,AU$13,IF(AY$182=3,AY$13,IF(BC$182=3,BC$13,""))))))))))))</f>
        <v>I</v>
      </c>
      <c r="AO190" s="488" t="str">
        <f>IF(K182=3,K14,IF(O$182=3,O$14,IF(S$182=3,S$14,IF(W$182=3,W$14,IF(AA$182=3,AA$14,IF(AE$182=3,AE$14,IF(AI$182=3,AI$14,IF(AM$182=3,AM$14,IF(AQ$182=3,AQ$14,IF(AU$182=3,AU$14,IF(AY$182=3,AY$14,IF(BC$182=3,BC$14,""))))))))))))</f>
        <v>Alessandro</v>
      </c>
      <c r="AP190" s="490"/>
      <c r="AQ190" s="188">
        <f>IF($K$182=3,$N$168,IF($O$182=3,$R$168,IF($S$182=3,$V$168,IF($W$182=3,$Z$168,IF($AA$182=3,$AD$168,IF($AE$182=3,$AH$168,IF($AI$182=3,$AL$168,IF($AM$182=3,$AP$168,IF($AQ$182=3,$AT$168,IF($AU$182=3,$AX$168,IF($AY$182=3,$BB$168,IF($BC$182=3,$BF$168,""))))))))))))</f>
        <v>815.97416666666663</v>
      </c>
      <c r="AR190" s="469">
        <f t="shared" si="171"/>
        <v>0.97139781746031739</v>
      </c>
    </row>
    <row r="191" spans="2:58" x14ac:dyDescent="0.3">
      <c r="K191" s="56" t="s">
        <v>217</v>
      </c>
      <c r="L191" s="57" t="s">
        <v>223</v>
      </c>
      <c r="M191" s="57" t="str">
        <f>IF(K179=4,K13,IF(O$179=4,O$13,IF(S$179=4,S$13,IF(W$179=4,W$13,IF(AA$179=4,AA$13,IF(AE$179=4,AE$13,IF(AI$179=4,AI$13,IF(AM$179=4,AM$13,IF(AQ$179=4,AQ$13,IF(AU$179=4,AU$13,IF(AY$179=4,AY$13,IF(BC$179=4,BC$13,""))))))))))))</f>
        <v>I</v>
      </c>
      <c r="N191" s="584" t="str">
        <f>IF(K$179=4,K$14,IF(O$179=4,O$14,IF(S$179=4,S$14,IF(W$179=4,W$14,IF(AA$179=4,AA$14,IF(AE$179=4,AE$14,IF(AI$179=4,AI$14,IF(AM$179=4,AM$14,IF(AQ$179=4,AQ$14,IF(AU$179=4,AU$14,IF(AY$179=4,AY$14,IF(BC$179=4,BC$14,""))))))))))))</f>
        <v>Alessandro</v>
      </c>
      <c r="O191" s="586"/>
      <c r="P191" s="459">
        <f>IF($K179=4,$K165,IF($O179=4,$O165,IF($S179=4,$S165,IF($W179=4,$W165,IF($AA179=4,$AA165,IF($AE179=4,$AE165,IF($AI179=4,$AI165,IF($AM179=4,$AM165,IF($AQ179=4,$AQ165,IF($AU179=4,$AU165,IF($AY179=4,$AY165,IF($BC179=4,$BC165,""))))))))))))</f>
        <v>713.57999999999993</v>
      </c>
      <c r="Q191" s="471">
        <f t="shared" si="168"/>
        <v>0.84949999999999992</v>
      </c>
      <c r="T191" s="65" t="s">
        <v>217</v>
      </c>
      <c r="U191" s="66" t="s">
        <v>187</v>
      </c>
      <c r="V191" s="66" t="str">
        <f>IF(K180=4,K13,IF(O$180=4,O$13,IF(S$180=4,S$13,IF(W$180=4,W$13,IF(AA$180=4,AA$13,IF(AE$180=4,AE$13,IF(AI$180=4,AI$13,IF(AM$180=4,AM$13,IF(AQ$180=4,AQ$13,IF(AU$180=4,AU$13,IF(AY$180=4,AY$13,IF(BC$180=4,BC$13,""))))))))))))</f>
        <v>J</v>
      </c>
      <c r="W191" s="596" t="str">
        <f>IF(K180=4,K14,IF(O$180=4,O$14,IF(S$180=4,S$14,IF(W$180=4,W$14,IF(AA$180=4,AA$14,IF(AE$180=4,AE$14,IF(AI$180=4,AI$14,IF(AM$180=4,AM$14,IF(AQ$180=4,AQ$14,IF(AU$180=4,AU$14,IF(AY$180=4,AY$14,IF(BC$180=4,BC$14,""))))))))))))</f>
        <v>Emma</v>
      </c>
      <c r="X191" s="598"/>
      <c r="Y191" s="195">
        <f>IF($K$180=4,$L$166,IF($O$180=4,$P$166,IF($S$180=4,$T$166,IF($W$180=4,$X$166,IF($AA$180=4,$AB$166,IF($AE$180=4,$AF$166,IF($AI$180=4,$AJ$166,IF($AM$180=4,$AN$166,IF($AQ$180=4,$AR$166,IF($AU$180=4,$AV$166,IF($AY$180=4,$AZ$166,IF($BC$180=4,$BD$166,""))))))))))))</f>
        <v>761.99079120114777</v>
      </c>
      <c r="Z191" s="466">
        <f t="shared" si="169"/>
        <v>0.90713189428708063</v>
      </c>
      <c r="AC191" s="74" t="s">
        <v>217</v>
      </c>
      <c r="AD191" s="75" t="s">
        <v>200</v>
      </c>
      <c r="AE191" s="75" t="str">
        <f>IF(K181=4,K13,IF(O$181=4,O$13,IF(S$181=4,S$13,IF(W$181=4,W$13,IF(AA$181=4,AA$13,IF(AE$181=4,AE$13,IF(AI$181=4,AI$13,IF(AM$181=4,AM$13,IF(AQ$181=4,AQ$13,IF(AU$181=4,AU$13,IF(AY$181=4,AY$13,IF(BC$181=4,BC$13,""))))))))))))</f>
        <v>I</v>
      </c>
      <c r="AF191" s="548" t="str">
        <f>IF(K181=4,K14,IF(O$181=4,O$14,IF(S$181=4,S$14,IF(W$181=4,W$14,IF(AA$181=4,AA$14,IF(AE$181=4,AE$14,IF(AI$181=4,AI$14,IF(AM$181=4,AM$14,IF(AQ$181=4,AQ$14,IF(AU$181=4,AU$14,IF(AY$181=4,AY$14,IF(BC$181=4,BC$14,""))))))))))))</f>
        <v>Alessandro</v>
      </c>
      <c r="AG191" s="550"/>
      <c r="AH191" s="457">
        <f>IF($K$181=4,$M$167,IF($O$181=4,$Q$167,IF($S$181=4,$U$167,IF($W$181=4,$Y$167,IF($AA$181=4,$AC$167,IF($AE$181=4,$AG$167,IF($AI$181=4,$AK$167,IF($AM$181=4,$AO$167,IF($AQ$181=4,$AS$167,IF($AU$181=4,$AW$167,IF($AY$181=4,$BA$167,IF($BC$181=4,$BE$167,""))))))))))))</f>
        <v>809.47500000000002</v>
      </c>
      <c r="AI191" s="464">
        <f t="shared" si="170"/>
        <v>0.96366071428571431</v>
      </c>
      <c r="AL191" s="187" t="s">
        <v>217</v>
      </c>
      <c r="AM191" s="188" t="s">
        <v>292</v>
      </c>
      <c r="AN191" s="188" t="str">
        <f>IF(K182=4,K13,IF(O$182=4,O$13,IF(S$182=4,S$13,IF(W$182=4,W$13,IF(AA$182=4,AA$13,IF(AE$182=4,AE$13,IF(AI$182=4,AI$13,IF(AM$182=4,AM$13,IF(AQ$182=4,AQ$13,IF(AU$182=4,AU$13,IF(AY$182=4,AY$13,IF(BC$182=4,BC$13,""))))))))))))</f>
        <v>E</v>
      </c>
      <c r="AO191" s="488" t="str">
        <f>IF(K182=4,K14,IF(O$182=4,O$14,IF(S$182=4,S$14,IF(W$182=4,W$14,IF(AA$182=4,AA$14,IF(AE$182=4,AE$14,IF(AI$182=4,AI$14,IF(AM$182=4,AM$14,IF(AQ$182=4,AQ$14,IF(AU$182=4,AU$14,IF(AY$182=4,AY$14,IF(BC$182=4,BC$14,""))))))))))))</f>
        <v>Stefano</v>
      </c>
      <c r="AP191" s="490"/>
      <c r="AQ191" s="188">
        <f>IF($K$182=4,$N$168,IF($O$182=4,$R$168,IF($S$182=4,$V$168,IF($W$182=4,$Z$168,IF($AA$182=4,$AD$168,IF($AE$182=4,$AH$168,IF($AI$182=4,$AL$168,IF($AM$182=4,$AP$168,IF($AQ$182=4,$AT$168,IF($AU$182=4,$AX$168,IF($AY$182=4,$BB$168,IF($BC$182=4,$BF$168,""))))))))))))</f>
        <v>801.81927272727273</v>
      </c>
      <c r="AR191" s="469">
        <f t="shared" si="171"/>
        <v>0.9545467532467532</v>
      </c>
    </row>
    <row r="192" spans="2:58" ht="14.5" thickBot="1" x14ac:dyDescent="0.35">
      <c r="K192" s="59" t="s">
        <v>218</v>
      </c>
      <c r="L192" s="60" t="s">
        <v>224</v>
      </c>
      <c r="M192" s="60" t="str">
        <f>IF(K179=5,K13,IF(O$179=5,O$13,IF(S$179=5,S$13,IF(W$179=5,W$13,IF(AA$179=5,AA$13,IF(AE$179=5,AE$13,IF(AI$179=5,AI$13,IF(AM$179=5,AM$13,IF(AQ$179=5,AQ$13,IF(AU$179=5,AU$13,IF(AY$179=5,AY$13,IF(BC$179=5,BC$13,""))))))))))))</f>
        <v>L</v>
      </c>
      <c r="N192" s="587" t="str">
        <f>IF(K$179=5,K$14,IF(O$179=5,O$14,IF(S$179=5,S$14,IF(W$179=5,W$14,IF(AA$179=5,AA$14,IF(AE$179=5,AE$14,IF(AI$179=5,AI$14,IF(AM$179=5,AM$14,IF(AQ$179=5,AQ$14,IF(AU$179=5,AU$14,IF(AY$179=5,AY$14,IF(BC$179=5,BC$14,""))))))))))))</f>
        <v>Massimo</v>
      </c>
      <c r="O192" s="589"/>
      <c r="P192" s="460">
        <f>IF($K179=5,$K165,IF($O179=5,$O165,IF($S179=5,$S165,IF($W179=5,$W165,IF($AA179=5,$AA165,IF($AE179=5,$AE165,IF($AI179=5,$AI165,IF($AM179=5,$AM165,IF($AQ179=5,$AQ165,IF($AU179=5,$AU165,IF($AY179=5,$AY165,IF($BC179=5,$BC165,""))))))))))))</f>
        <v>692.64299999999992</v>
      </c>
      <c r="Q192" s="472">
        <f t="shared" si="168"/>
        <v>0.82457499999999995</v>
      </c>
      <c r="T192" s="65" t="s">
        <v>218</v>
      </c>
      <c r="U192" s="66" t="s">
        <v>188</v>
      </c>
      <c r="V192" s="66" t="str">
        <f>IF(K180=5,K13,IF(O$180=5,O$13,IF(S$180=5,S$13,IF(W$180=5,W$13,IF(AA$180=5,AA$13,IF(AE$180=5,AE$13,IF(AI$180=5,AI$13,IF(AM$180=5,AM$13,IF(AQ$180=5,AQ$13,IF(AU$180=5,AU$13,IF(AY$180=5,AY$13,IF(BC$180=5,BC$13,""))))))))))))</f>
        <v>A</v>
      </c>
      <c r="W192" s="596" t="str">
        <f>IF(K180=5,K14,IF(O$180=5,O$14,IF(S$180=5,S$14,IF(W$180=5,W$14,IF(AA$180=5,AA$14,IF(AE$180=5,AE$14,IF(AI$180=5,AI$14,IF(AM$180=5,AM$14,IF(AQ$180=5,AQ$14,IF(AU$180=5,AU$14,IF(AY$180=5,AY$14,IF(BC$180=5,BC$14,""))))))))))))</f>
        <v>Gianni</v>
      </c>
      <c r="X192" s="598"/>
      <c r="Y192" s="195">
        <f>IF($K$180=5,$L$166,IF($O$180=5,$P$166,IF($S$180=5,$T$166,IF($W$180=5,$X$166,IF($AA$180=5,$AB$166,IF($AE$180=5,$AF$166,IF($AI$180=5,$AJ$166,IF($AM$180=5,$AN$166,IF($AQ$180=5,$AR$166,IF($AU$180=5,$AV$166,IF($AY$180=5,$AZ$166,IF($BC$180=5,$BD$166,""))))))))))))</f>
        <v>754.87011990812368</v>
      </c>
      <c r="Z192" s="466">
        <f t="shared" si="169"/>
        <v>0.89865490465252817</v>
      </c>
      <c r="AC192" s="74" t="s">
        <v>218</v>
      </c>
      <c r="AD192" s="75" t="s">
        <v>201</v>
      </c>
      <c r="AE192" s="75" t="str">
        <f>IF(K181=5,K13,IF(O$181=5,O$13,IF(S$181=5,S$13,IF(W$181=5,W$13,IF(AA$181=5,AA$13,IF(AE$181=5,AE$13,IF(AI$181=5,AI$13,IF(AM$181=5,AM$13,IF(AQ$181=5,AQ$13,IF(AU$181=5,AU$13,IF(AY$181=5,AY$13,IF(BC$181=5,BC$13,""))))))))))))</f>
        <v>B</v>
      </c>
      <c r="AF192" s="548" t="str">
        <f>IF(K181=5,K14,IF(O$181=5,O$14,IF(S$181=5,S$14,IF(W$181=5,W$14,IF(AA$181=5,AA$14,IF(AE$181=5,AE$14,IF(AI$181=5,AI$14,IF(AM$181=5,AM$14,IF(AQ$181=5,AQ$14,IF(AU$181=5,AU$14,IF(AY$181=5,AY$14,IF(BC$181=5,BC$14,""))))))))))))</f>
        <v>Pietro</v>
      </c>
      <c r="AG192" s="550"/>
      <c r="AH192" s="457">
        <f>IF($K$181=5,$M$167,IF($O$181=5,$Q$167,IF($S$181=5,$U$167,IF($W$181=5,$Y$167,IF($AA$181=5,$AC$167,IF($AE$181=5,$AG$167,IF($AI$181=5,$AK$167,IF($AM$181=5,$AO$167,IF($AQ$181=5,$AS$167,IF($AU$181=5,$AW$167,IF($AY$181=5,$BA$167,IF($BC$181=5,$BE$167,""))))))))))))</f>
        <v>734.69999999999993</v>
      </c>
      <c r="AI192" s="462">
        <f t="shared" si="170"/>
        <v>0.87464285714285706</v>
      </c>
      <c r="AL192" s="187" t="s">
        <v>218</v>
      </c>
      <c r="AM192" s="188" t="s">
        <v>293</v>
      </c>
      <c r="AN192" s="188" t="str">
        <f>IF(K182=5,K13,IF(O$182=5,O$13,IF(S$182=5,S$13,IF(W$182=5,W$13,IF(AA$182=5,AA$13,IF(AE$182=5,AE$13,IF(AI$182=5,AI$13,IF(AM$182=5,AM$13,IF(AQ$182=5,AQ$13,IF(AU$182=5,AU$13,IF(AY$182=5,AY$13,IF(BC$182=5,BC$13,""))))))))))))</f>
        <v>K</v>
      </c>
      <c r="AO192" s="488" t="str">
        <f>IF(K182=5,K14,IF(O$182=5,O$14,IF(S$182=5,S$14,IF(W$182=5,W$14,IF(AA$182=5,AA$14,IF(AE$182=5,AE$14,IF(AI$182=5,AI$14,IF(AM$182=5,AM$14,IF(AQ$182=5,AQ$14,IF(AU$182=5,AU$14,IF(AY$182=5,AY$14,IF(BC$182=5,BC$14,""))))))))))))</f>
        <v>Magda</v>
      </c>
      <c r="AP192" s="490"/>
      <c r="AQ192" s="188">
        <f>IF($K$182=5,$N$168,IF($O$182=5,$R$168,IF($S$182=5,$V$168,IF($W$182=5,$Z$168,IF($AA$182=5,$AD$168,IF($AE$182=5,$AH$168,IF($AI$182=5,$AL$168,IF($AM$182=5,$AP$168,IF($AQ$182=5,$AT$168,IF($AU$182=5,$AX$168,IF($AY$182=5,$BB$168,IF($BC$182=5,$BF$168,""))))))))))))</f>
        <v>796.54482718696397</v>
      </c>
      <c r="AR192" s="469">
        <f t="shared" si="171"/>
        <v>0.94826765141305236</v>
      </c>
    </row>
    <row r="193" spans="2:58" ht="14.5" thickBot="1" x14ac:dyDescent="0.35">
      <c r="L193" s="1"/>
      <c r="M193" s="1"/>
      <c r="N193" s="1"/>
      <c r="T193" s="68" t="s">
        <v>219</v>
      </c>
      <c r="U193" s="69" t="s">
        <v>189</v>
      </c>
      <c r="V193" s="69" t="str">
        <f>IF(K180=6,K13,IF(O$180=6,O$13,IF(S$180=6,S$13,IF(W$180=6,W$13,IF(AA$180=6,AA$13,IF(AE$180=6,AE$13,IF(AI$180=6,AI$13,IF(AM$180=6,AM$13,IF(AQ$180=6,AQ$13,IF(AU$180=6,AU$13,IF(AY$180=6,AY$13,IF(BC$180=6,BC$13,""))))))))))))</f>
        <v>E</v>
      </c>
      <c r="W193" s="686" t="str">
        <f>IF(K180=6,K14,IF(O$180=6,O$14,IF(S$180=6,S$14,IF(W$180=6,W$14,IF(AA$180=6,AA$14,IF(AE$180=6,AE$14,IF(AI$180=6,AI$14,IF(AM$180=6,AM$14,IF(AQ$180=6,AQ$14,IF(AU$180=6,AU$14,IF(AY$180=6,AY$14,IF(BC$180=6,BC$14,""))))))))))))</f>
        <v>Stefano</v>
      </c>
      <c r="X193" s="688"/>
      <c r="Y193" s="455">
        <f>IF($K$180=6,$L$166,IF($O$180=6,$P$166,IF($S$180=6,$T$166,IF($W$180=6,$X$166,IF($AA$180=6,$AB$166,IF($AE$180=6,$AF$166,IF($AI$180=6,$AJ$166,IF($AM$180=6,$AN$166,IF($AQ$180=6,$AR$166,IF($AU$180=6,$AV$166,IF($AY$180=6,$AZ$166,IF($BC$180=6,$BD$166,""))))))))))))</f>
        <v>749.62585250087227</v>
      </c>
      <c r="Z193" s="467">
        <f t="shared" si="169"/>
        <v>0.89241172916770506</v>
      </c>
      <c r="AC193" s="77" t="s">
        <v>219</v>
      </c>
      <c r="AD193" s="86" t="s">
        <v>203</v>
      </c>
      <c r="AE193" s="86" t="str">
        <f>IF(K181=6,K13,IF(O$181=6,O$13,IF(S$181=6,S$13,IF(W$181=6,W$13,IF(AA$181=6,AA$13,IF(AE$181=6,AE$13,IF(AI$181=6,AI$13,IF(AM$181=6,AM$13,IF(AQ$181=6,AQ$13,IF(AU$181=6,AU$13,IF(AY$181=6,AY$13,IF(BC$181=6,BC$13,""))))))))))))</f>
        <v>L</v>
      </c>
      <c r="AF193" s="551" t="str">
        <f>IF(K181=6,K14,IF(O$181=6,O$14,IF(S$181=6,S$14,IF(W$181=6,W$14,IF(AA$181=6,AA$14,IF(AE$181=6,AE$14,IF(AI$181=6,AI$14,IF(AM$181=6,AM$14,IF(AQ$181=6,AQ$14,IF(AU$181=6,AU$14,IF(AY$181=6,AY$14,IF(BC$181=6,BC$14,""))))))))))))</f>
        <v>Massimo</v>
      </c>
      <c r="AG193" s="553"/>
      <c r="AH193" s="458">
        <f>IF($K$181=6,$M$167,IF($O$181=6,$Q$167,IF($S$181=6,$U$167,IF($W$181=6,$Y$167,IF($AA$181=6,$AC$167,IF($AE$181=6,$AG$167,IF($AI$181=6,$AK$167,IF($AM$181=6,$AO$167,IF($AQ$181=6,$AS$167,IF($AU$181=6,$AW$167,IF($AY$181=6,$BA$167,IF($BC$181=6,$BE$167,""))))))))))))</f>
        <v>674.56499999999994</v>
      </c>
      <c r="AI193" s="463">
        <f t="shared" si="170"/>
        <v>0.80305357142857137</v>
      </c>
      <c r="AL193" s="189" t="s">
        <v>219</v>
      </c>
      <c r="AM193" s="190" t="s">
        <v>294</v>
      </c>
      <c r="AN193" s="190" t="str">
        <f>IF(K182=6,K13,IF(O$182=6,O$13,IF(S$182=6,S$13,IF(W$182=6,W$13,IF(AA$182=6,AA$13,IF(AE$182=6,AE$13,IF(AI$182=6,AI$13,IF(AM$182=6,AM$13,IF(AQ$182=6,AQ$13,IF(AU$182=6,AU$13,IF(AY$182=6,AY$13,IF(BC$182=6,BC$13,""))))))))))))</f>
        <v>C</v>
      </c>
      <c r="AO193" s="491" t="str">
        <f>IF(K182=6,K14,IF(O$182=6,O$14,IF(S$182=6,S$14,IF(W$182=6,W$14,IF(AA$182=6,AA$14,IF(AE$182=6,AE$14,IF(AI$182=6,AI$14,IF(AM$182=6,AM$14,IF(AQ$182=6,AQ$14,IF(AU$182=6,AU$14,IF(AY$182=6,AY$14,IF(BC$182=6,BC$14,""))))))))))))</f>
        <v>Matheus</v>
      </c>
      <c r="AP193" s="493"/>
      <c r="AQ193" s="190">
        <f>IF($K$182=6,$N$168,IF($O$182=6,$R$168,IF($S$182=6,$V$168,IF($W$182=6,$Z$168,IF($AA$182=6,$AD$168,IF($AE$182=6,$AH$168,IF($AI$182=6,$AL$168,IF($AM$182=6,$AP$168,IF($AQ$182=6,$AT$168,IF($AU$182=6,$AX$168,IF($AY$182=6,$BB$168,IF($BC$182=6,$BF$168,""))))))))))))</f>
        <v>779.2881818181819</v>
      </c>
      <c r="AR193" s="470">
        <f t="shared" si="171"/>
        <v>0.92772402597402603</v>
      </c>
    </row>
    <row r="194" spans="2:58" x14ac:dyDescent="0.3">
      <c r="L194" s="1"/>
      <c r="M194" s="1"/>
      <c r="N194" s="1"/>
    </row>
    <row r="195" spans="2:58" x14ac:dyDescent="0.3">
      <c r="L195" s="1"/>
      <c r="M195" s="1"/>
      <c r="N195" s="1"/>
    </row>
    <row r="196" spans="2:58" x14ac:dyDescent="0.3">
      <c r="L196" s="1"/>
      <c r="M196" s="1"/>
      <c r="N196" s="1"/>
    </row>
    <row r="197" spans="2:58" x14ac:dyDescent="0.3">
      <c r="L197" s="1"/>
      <c r="M197" s="1"/>
      <c r="N197" s="1"/>
    </row>
    <row r="198" spans="2:58" ht="14.5" thickBot="1" x14ac:dyDescent="0.35">
      <c r="L198" s="1"/>
      <c r="M198" s="1"/>
      <c r="N198" s="1"/>
    </row>
    <row r="199" spans="2:58" ht="29.5" customHeight="1" thickBot="1" x14ac:dyDescent="0.35">
      <c r="B199" s="813" t="s">
        <v>228</v>
      </c>
      <c r="C199" s="814"/>
      <c r="D199" s="814"/>
      <c r="E199" s="814"/>
      <c r="F199" s="814"/>
      <c r="G199" s="814"/>
      <c r="H199" s="814"/>
      <c r="I199" s="814"/>
      <c r="J199" s="814"/>
      <c r="K199" s="814"/>
      <c r="L199" s="814"/>
      <c r="M199" s="814"/>
      <c r="N199" s="814"/>
      <c r="O199" s="814"/>
      <c r="P199" s="814"/>
      <c r="Q199" s="814"/>
      <c r="R199" s="814"/>
      <c r="S199" s="814"/>
      <c r="T199" s="814"/>
      <c r="U199" s="814"/>
      <c r="V199" s="814"/>
      <c r="W199" s="814"/>
      <c r="X199" s="814"/>
      <c r="Y199" s="814"/>
      <c r="Z199" s="814"/>
      <c r="AA199" s="814"/>
      <c r="AB199" s="814"/>
      <c r="AC199" s="814"/>
      <c r="AD199" s="814"/>
      <c r="AE199" s="814"/>
      <c r="AF199" s="814"/>
      <c r="AG199" s="814"/>
      <c r="AH199" s="814"/>
      <c r="AI199" s="814"/>
      <c r="AJ199" s="814"/>
      <c r="AK199" s="814"/>
      <c r="AL199" s="814"/>
      <c r="AM199" s="814"/>
      <c r="AN199" s="814"/>
      <c r="AO199" s="814"/>
      <c r="AP199" s="814"/>
      <c r="AQ199" s="814"/>
      <c r="AR199" s="814"/>
      <c r="AS199" s="814"/>
      <c r="AT199" s="814"/>
      <c r="AU199" s="814"/>
      <c r="AV199" s="814"/>
      <c r="AW199" s="814"/>
      <c r="AX199" s="814"/>
      <c r="AY199" s="814"/>
      <c r="AZ199" s="814"/>
      <c r="BA199" s="814"/>
      <c r="BB199" s="814"/>
      <c r="BC199" s="814"/>
      <c r="BD199" s="814"/>
      <c r="BE199" s="814"/>
      <c r="BF199" s="815"/>
    </row>
    <row r="200" spans="2:58" ht="14" customHeight="1" x14ac:dyDescent="0.3">
      <c r="B200" s="758" t="s">
        <v>160</v>
      </c>
      <c r="C200" s="692" t="s">
        <v>152</v>
      </c>
      <c r="D200" s="269" t="s">
        <v>17</v>
      </c>
      <c r="E200" s="270" t="s">
        <v>178</v>
      </c>
      <c r="F200" s="271" t="s">
        <v>177</v>
      </c>
      <c r="G200" s="270" t="str">
        <f>VLOOKUP(MID(E200,1,2),L$188:M$192,2,FALSE) &amp; " " &amp; VLOOKUP(MID(E200,4,2),L$188:M$192,2,FALSE)</f>
        <v>E H</v>
      </c>
      <c r="H200" s="271" t="str">
        <f>VLOOKUP(MID(F200,1,2),L$188:M$192,2,FALSE) &amp; " " &amp; VLOOKUP(MID(F200,4,2),L$188:M$192,2,FALSE)</f>
        <v>B I</v>
      </c>
      <c r="I200" s="272">
        <v>1</v>
      </c>
      <c r="J200" s="273">
        <v>5</v>
      </c>
      <c r="K200" s="46" t="str">
        <f>IF(ISNUMBER(FIND(K$13,$G200)),$I200,IF(ISNUMBER(FIND(K$13,$H200)),$J200,""))</f>
        <v/>
      </c>
      <c r="L200" s="47"/>
      <c r="M200" s="47"/>
      <c r="N200" s="48"/>
      <c r="O200" s="46">
        <f t="shared" ref="O200:O204" si="172">IF(ISNUMBER(FIND(O$13,$G200)),$I200,IF(ISNUMBER(FIND(O$13,$H200)),$J200,""))</f>
        <v>5</v>
      </c>
      <c r="P200" s="47"/>
      <c r="Q200" s="47"/>
      <c r="R200" s="48"/>
      <c r="S200" s="46" t="str">
        <f t="shared" ref="S200:S204" si="173">IF(ISNUMBER(FIND(S$13,$G200)),$I200,IF(ISNUMBER(FIND(S$13,$H200)),$J200,""))</f>
        <v/>
      </c>
      <c r="T200" s="47"/>
      <c r="U200" s="47"/>
      <c r="V200" s="48"/>
      <c r="W200" s="46" t="str">
        <f t="shared" ref="W200:W204" si="174">IF(ISNUMBER(FIND(W$13,$G200)),$I200,IF(ISNUMBER(FIND(W$13,$H200)),$J200,""))</f>
        <v/>
      </c>
      <c r="X200" s="47"/>
      <c r="Y200" s="47"/>
      <c r="Z200" s="48"/>
      <c r="AA200" s="46">
        <f t="shared" ref="AA200:AA204" si="175">IF(ISNUMBER(FIND(AA$13,$G200)),$I200,IF(ISNUMBER(FIND(AA$13,$H200)),$J200,""))</f>
        <v>1</v>
      </c>
      <c r="AB200" s="47"/>
      <c r="AC200" s="47"/>
      <c r="AD200" s="48"/>
      <c r="AE200" s="46" t="str">
        <f t="shared" ref="AE200:AE204" si="176">IF(ISNUMBER(FIND(AE$13,$G200)),$I200,IF(ISNUMBER(FIND(AE$13,$H200)),$J200,""))</f>
        <v/>
      </c>
      <c r="AF200" s="47"/>
      <c r="AG200" s="47"/>
      <c r="AH200" s="48"/>
      <c r="AI200" s="46" t="str">
        <f t="shared" ref="AI200:AI204" si="177">IF(ISNUMBER(FIND(AI$13,$G200)),$I200,IF(ISNUMBER(FIND(AI$13,$H200)),$J200,""))</f>
        <v/>
      </c>
      <c r="AJ200" s="47"/>
      <c r="AK200" s="47"/>
      <c r="AL200" s="48"/>
      <c r="AM200" s="46">
        <f t="shared" ref="AM200:AM204" si="178">IF(ISNUMBER(FIND(AM$13,$G200)),$I200,IF(ISNUMBER(FIND(AM$13,$H200)),$J200,""))</f>
        <v>1</v>
      </c>
      <c r="AN200" s="47"/>
      <c r="AO200" s="47"/>
      <c r="AP200" s="48"/>
      <c r="AQ200" s="46">
        <f t="shared" ref="AQ200:AQ204" si="179">IF(ISNUMBER(FIND(AQ$13,$G200)),$I200,IF(ISNUMBER(FIND(AQ$13,$H200)),$J200,""))</f>
        <v>5</v>
      </c>
      <c r="AR200" s="47"/>
      <c r="AS200" s="47"/>
      <c r="AT200" s="48"/>
      <c r="AU200" s="46" t="str">
        <f t="shared" ref="AU200:AU204" si="180">IF(ISNUMBER(FIND(AU$13,$G200)),$I200,IF(ISNUMBER(FIND(AU$13,$H200)),$J200,""))</f>
        <v/>
      </c>
      <c r="AV200" s="47"/>
      <c r="AW200" s="47"/>
      <c r="AX200" s="48"/>
      <c r="AY200" s="46" t="str">
        <f t="shared" ref="AY200:AY204" si="181">IF(ISNUMBER(FIND(AY$13,$G200)),$I200,IF(ISNUMBER(FIND(AY$13,$H200)),$J200,""))</f>
        <v/>
      </c>
      <c r="AZ200" s="47"/>
      <c r="BA200" s="47"/>
      <c r="BB200" s="48"/>
      <c r="BC200" s="46" t="str">
        <f t="shared" ref="BC200:BC204" si="182">IF(ISNUMBER(FIND(BC$13,$G200)),$I200,IF(ISNUMBER(FIND(BC$13,$H200)),$J200,""))</f>
        <v/>
      </c>
      <c r="BD200" s="47"/>
      <c r="BE200" s="47"/>
      <c r="BF200" s="48"/>
    </row>
    <row r="201" spans="2:58" ht="14" customHeight="1" x14ac:dyDescent="0.3">
      <c r="B201" s="758"/>
      <c r="C201" s="692"/>
      <c r="D201" s="274" t="s">
        <v>18</v>
      </c>
      <c r="E201" s="275" t="s">
        <v>179</v>
      </c>
      <c r="F201" s="276" t="s">
        <v>180</v>
      </c>
      <c r="G201" s="275" t="str">
        <f t="shared" ref="G201:G204" si="183">VLOOKUP(MID(E201,1,2),L$188:M$192,2,FALSE) &amp; " " &amp; VLOOKUP(MID(E201,4,2),L$188:M$192,2,FALSE)</f>
        <v>E B</v>
      </c>
      <c r="H201" s="276" t="str">
        <f t="shared" ref="H201:H204" si="184">VLOOKUP(MID(F201,1,2),L$188:M$192,2,FALSE) &amp; " " &amp; VLOOKUP(MID(F201,4,2),L$188:M$192,2,FALSE)</f>
        <v>H L</v>
      </c>
      <c r="I201" s="275">
        <v>1</v>
      </c>
      <c r="J201" s="276">
        <v>5</v>
      </c>
      <c r="K201" s="89" t="str">
        <f t="shared" ref="K201:K204" si="185">IF(ISNUMBER(FIND(K$13,$G201)),$I201,IF(ISNUMBER(FIND(K$13,$H201)),$J201,""))</f>
        <v/>
      </c>
      <c r="L201" s="47"/>
      <c r="M201" s="47"/>
      <c r="N201" s="48"/>
      <c r="O201" s="46">
        <f t="shared" si="172"/>
        <v>1</v>
      </c>
      <c r="P201" s="47"/>
      <c r="Q201" s="47"/>
      <c r="R201" s="48"/>
      <c r="S201" s="46" t="str">
        <f t="shared" si="173"/>
        <v/>
      </c>
      <c r="T201" s="47"/>
      <c r="U201" s="47"/>
      <c r="V201" s="48"/>
      <c r="W201" s="46" t="str">
        <f t="shared" si="174"/>
        <v/>
      </c>
      <c r="X201" s="47"/>
      <c r="Y201" s="47"/>
      <c r="Z201" s="48"/>
      <c r="AA201" s="46">
        <f t="shared" si="175"/>
        <v>1</v>
      </c>
      <c r="AB201" s="47"/>
      <c r="AC201" s="47"/>
      <c r="AD201" s="48"/>
      <c r="AE201" s="46" t="str">
        <f t="shared" si="176"/>
        <v/>
      </c>
      <c r="AF201" s="47"/>
      <c r="AG201" s="47"/>
      <c r="AH201" s="48"/>
      <c r="AI201" s="46" t="str">
        <f t="shared" si="177"/>
        <v/>
      </c>
      <c r="AJ201" s="47"/>
      <c r="AK201" s="47"/>
      <c r="AL201" s="48"/>
      <c r="AM201" s="46">
        <f t="shared" si="178"/>
        <v>5</v>
      </c>
      <c r="AN201" s="47"/>
      <c r="AO201" s="47"/>
      <c r="AP201" s="48"/>
      <c r="AQ201" s="46" t="str">
        <f t="shared" si="179"/>
        <v/>
      </c>
      <c r="AR201" s="47"/>
      <c r="AS201" s="47"/>
      <c r="AT201" s="48"/>
      <c r="AU201" s="46" t="str">
        <f t="shared" si="180"/>
        <v/>
      </c>
      <c r="AV201" s="47"/>
      <c r="AW201" s="47"/>
      <c r="AX201" s="48"/>
      <c r="AY201" s="46" t="str">
        <f t="shared" si="181"/>
        <v/>
      </c>
      <c r="AZ201" s="47"/>
      <c r="BA201" s="47"/>
      <c r="BB201" s="48"/>
      <c r="BC201" s="46">
        <f t="shared" si="182"/>
        <v>5</v>
      </c>
      <c r="BD201" s="47"/>
      <c r="BE201" s="47"/>
      <c r="BF201" s="48"/>
    </row>
    <row r="202" spans="2:58" ht="14" customHeight="1" x14ac:dyDescent="0.3">
      <c r="B202" s="758"/>
      <c r="C202" s="692"/>
      <c r="D202" s="274" t="s">
        <v>19</v>
      </c>
      <c r="E202" s="275" t="s">
        <v>181</v>
      </c>
      <c r="F202" s="276" t="s">
        <v>182</v>
      </c>
      <c r="G202" s="275" t="str">
        <f t="shared" si="183"/>
        <v>E L</v>
      </c>
      <c r="H202" s="276" t="str">
        <f t="shared" si="184"/>
        <v>H I</v>
      </c>
      <c r="I202" s="275">
        <v>5</v>
      </c>
      <c r="J202" s="276">
        <v>3</v>
      </c>
      <c r="K202" s="89" t="str">
        <f t="shared" si="185"/>
        <v/>
      </c>
      <c r="L202" s="47"/>
      <c r="M202" s="47"/>
      <c r="N202" s="48"/>
      <c r="O202" s="46" t="str">
        <f t="shared" si="172"/>
        <v/>
      </c>
      <c r="P202" s="47"/>
      <c r="Q202" s="47"/>
      <c r="R202" s="48"/>
      <c r="S202" s="46" t="str">
        <f t="shared" si="173"/>
        <v/>
      </c>
      <c r="T202" s="47"/>
      <c r="U202" s="47"/>
      <c r="V202" s="48"/>
      <c r="W202" s="46" t="str">
        <f t="shared" si="174"/>
        <v/>
      </c>
      <c r="X202" s="47"/>
      <c r="Y202" s="47"/>
      <c r="Z202" s="48"/>
      <c r="AA202" s="46">
        <f t="shared" si="175"/>
        <v>5</v>
      </c>
      <c r="AB202" s="47"/>
      <c r="AC202" s="47"/>
      <c r="AD202" s="48"/>
      <c r="AE202" s="46" t="str">
        <f t="shared" si="176"/>
        <v/>
      </c>
      <c r="AF202" s="47"/>
      <c r="AG202" s="47"/>
      <c r="AH202" s="48"/>
      <c r="AI202" s="46" t="str">
        <f t="shared" si="177"/>
        <v/>
      </c>
      <c r="AJ202" s="47"/>
      <c r="AK202" s="47"/>
      <c r="AL202" s="48"/>
      <c r="AM202" s="46">
        <f t="shared" si="178"/>
        <v>3</v>
      </c>
      <c r="AN202" s="47"/>
      <c r="AO202" s="47"/>
      <c r="AP202" s="48"/>
      <c r="AQ202" s="46">
        <f t="shared" si="179"/>
        <v>3</v>
      </c>
      <c r="AR202" s="47"/>
      <c r="AS202" s="47"/>
      <c r="AT202" s="48"/>
      <c r="AU202" s="46" t="str">
        <f t="shared" si="180"/>
        <v/>
      </c>
      <c r="AV202" s="47"/>
      <c r="AW202" s="47"/>
      <c r="AX202" s="48"/>
      <c r="AY202" s="46" t="str">
        <f t="shared" si="181"/>
        <v/>
      </c>
      <c r="AZ202" s="47"/>
      <c r="BA202" s="47"/>
      <c r="BB202" s="48"/>
      <c r="BC202" s="46">
        <f t="shared" si="182"/>
        <v>5</v>
      </c>
      <c r="BD202" s="47"/>
      <c r="BE202" s="47"/>
      <c r="BF202" s="48"/>
    </row>
    <row r="203" spans="2:58" x14ac:dyDescent="0.3">
      <c r="B203" s="758"/>
      <c r="C203" s="692"/>
      <c r="D203" s="274" t="s">
        <v>20</v>
      </c>
      <c r="E203" s="275" t="s">
        <v>183</v>
      </c>
      <c r="F203" s="276" t="s">
        <v>184</v>
      </c>
      <c r="G203" s="275" t="str">
        <f t="shared" si="183"/>
        <v>E I</v>
      </c>
      <c r="H203" s="276" t="str">
        <f t="shared" si="184"/>
        <v>B L</v>
      </c>
      <c r="I203" s="275">
        <v>5</v>
      </c>
      <c r="J203" s="276">
        <v>4</v>
      </c>
      <c r="K203" s="90" t="str">
        <f t="shared" si="185"/>
        <v/>
      </c>
      <c r="L203" s="34"/>
      <c r="M203" s="34"/>
      <c r="N203" s="35"/>
      <c r="O203" s="33">
        <f t="shared" si="172"/>
        <v>4</v>
      </c>
      <c r="P203" s="34"/>
      <c r="Q203" s="34"/>
      <c r="R203" s="35"/>
      <c r="S203" s="33" t="str">
        <f t="shared" si="173"/>
        <v/>
      </c>
      <c r="T203" s="34"/>
      <c r="U203" s="34"/>
      <c r="V203" s="35"/>
      <c r="W203" s="33" t="str">
        <f t="shared" si="174"/>
        <v/>
      </c>
      <c r="X203" s="34"/>
      <c r="Y203" s="34"/>
      <c r="Z203" s="35"/>
      <c r="AA203" s="33">
        <f t="shared" si="175"/>
        <v>5</v>
      </c>
      <c r="AB203" s="34"/>
      <c r="AC203" s="34"/>
      <c r="AD203" s="35"/>
      <c r="AE203" s="33" t="str">
        <f t="shared" si="176"/>
        <v/>
      </c>
      <c r="AF203" s="34"/>
      <c r="AG203" s="34"/>
      <c r="AH203" s="35"/>
      <c r="AI203" s="33" t="str">
        <f t="shared" si="177"/>
        <v/>
      </c>
      <c r="AJ203" s="34"/>
      <c r="AK203" s="34"/>
      <c r="AL203" s="35"/>
      <c r="AM203" s="33" t="str">
        <f t="shared" si="178"/>
        <v/>
      </c>
      <c r="AN203" s="34"/>
      <c r="AO203" s="34"/>
      <c r="AP203" s="35"/>
      <c r="AQ203" s="33">
        <f t="shared" si="179"/>
        <v>5</v>
      </c>
      <c r="AR203" s="34"/>
      <c r="AS203" s="34"/>
      <c r="AT203" s="35"/>
      <c r="AU203" s="33" t="str">
        <f t="shared" si="180"/>
        <v/>
      </c>
      <c r="AV203" s="34"/>
      <c r="AW203" s="34"/>
      <c r="AX203" s="35"/>
      <c r="AY203" s="33" t="str">
        <f t="shared" si="181"/>
        <v/>
      </c>
      <c r="AZ203" s="34"/>
      <c r="BA203" s="34"/>
      <c r="BB203" s="35"/>
      <c r="BC203" s="33">
        <f t="shared" si="182"/>
        <v>4</v>
      </c>
      <c r="BD203" s="34"/>
      <c r="BE203" s="34"/>
      <c r="BF203" s="35"/>
    </row>
    <row r="204" spans="2:58" ht="14.5" thickBot="1" x14ac:dyDescent="0.35">
      <c r="B204" s="758"/>
      <c r="C204" s="693"/>
      <c r="D204" s="277" t="s">
        <v>21</v>
      </c>
      <c r="E204" s="278" t="s">
        <v>185</v>
      </c>
      <c r="F204" s="279" t="s">
        <v>186</v>
      </c>
      <c r="G204" s="278" t="str">
        <f t="shared" si="183"/>
        <v>H B</v>
      </c>
      <c r="H204" s="279" t="str">
        <f t="shared" si="184"/>
        <v>I L</v>
      </c>
      <c r="I204" s="278">
        <v>4</v>
      </c>
      <c r="J204" s="279">
        <v>5</v>
      </c>
      <c r="K204" s="91" t="str">
        <f t="shared" si="185"/>
        <v/>
      </c>
      <c r="L204" s="37"/>
      <c r="M204" s="37"/>
      <c r="N204" s="38"/>
      <c r="O204" s="36">
        <f t="shared" si="172"/>
        <v>4</v>
      </c>
      <c r="P204" s="37"/>
      <c r="Q204" s="37"/>
      <c r="R204" s="38"/>
      <c r="S204" s="36" t="str">
        <f t="shared" si="173"/>
        <v/>
      </c>
      <c r="T204" s="37"/>
      <c r="U204" s="37"/>
      <c r="V204" s="38"/>
      <c r="W204" s="36" t="str">
        <f t="shared" si="174"/>
        <v/>
      </c>
      <c r="X204" s="37"/>
      <c r="Y204" s="37"/>
      <c r="Z204" s="38"/>
      <c r="AA204" s="36" t="str">
        <f t="shared" si="175"/>
        <v/>
      </c>
      <c r="AB204" s="37"/>
      <c r="AC204" s="37"/>
      <c r="AD204" s="38"/>
      <c r="AE204" s="36" t="str">
        <f t="shared" si="176"/>
        <v/>
      </c>
      <c r="AF204" s="37"/>
      <c r="AG204" s="37"/>
      <c r="AH204" s="38"/>
      <c r="AI204" s="36" t="str">
        <f t="shared" si="177"/>
        <v/>
      </c>
      <c r="AJ204" s="37"/>
      <c r="AK204" s="37"/>
      <c r="AL204" s="38"/>
      <c r="AM204" s="36">
        <f t="shared" si="178"/>
        <v>4</v>
      </c>
      <c r="AN204" s="37"/>
      <c r="AO204" s="37"/>
      <c r="AP204" s="38"/>
      <c r="AQ204" s="36">
        <f t="shared" si="179"/>
        <v>5</v>
      </c>
      <c r="AR204" s="37"/>
      <c r="AS204" s="37"/>
      <c r="AT204" s="38"/>
      <c r="AU204" s="36" t="str">
        <f t="shared" si="180"/>
        <v/>
      </c>
      <c r="AV204" s="37"/>
      <c r="AW204" s="37"/>
      <c r="AX204" s="38"/>
      <c r="AY204" s="36" t="str">
        <f t="shared" si="181"/>
        <v/>
      </c>
      <c r="AZ204" s="37"/>
      <c r="BA204" s="37"/>
      <c r="BB204" s="38"/>
      <c r="BC204" s="36">
        <f t="shared" si="182"/>
        <v>5</v>
      </c>
      <c r="BD204" s="37"/>
      <c r="BE204" s="37"/>
      <c r="BF204" s="38"/>
    </row>
    <row r="205" spans="2:58" ht="14" customHeight="1" x14ac:dyDescent="0.3">
      <c r="B205" s="758"/>
      <c r="C205" s="694" t="s">
        <v>165</v>
      </c>
      <c r="D205" s="280" t="s">
        <v>17</v>
      </c>
      <c r="E205" s="281" t="s">
        <v>178</v>
      </c>
      <c r="F205" s="282" t="s">
        <v>177</v>
      </c>
      <c r="G205" s="281" t="str">
        <f>VLOOKUP(MID(E205,1,2),L$188:M$192,2,FALSE) &amp; " " &amp; VLOOKUP(MID(E205,4,2),L$188:M$192,2,FALSE)</f>
        <v>E H</v>
      </c>
      <c r="H205" s="282" t="str">
        <f>VLOOKUP(MID(F205,1,2),L$188:M$192,2,FALSE) &amp; " " &amp; VLOOKUP(MID(F205,4,2),L$188:M$192,2,FALSE)</f>
        <v>B I</v>
      </c>
      <c r="I205" s="92">
        <v>315</v>
      </c>
      <c r="J205" s="88">
        <v>315</v>
      </c>
      <c r="K205" s="31" t="str">
        <f t="shared" ref="K205:K209" si="186">IF(ISNUMBER(K200),K200*63,"")</f>
        <v/>
      </c>
      <c r="L205" s="32"/>
      <c r="M205" s="47"/>
      <c r="N205" s="48"/>
      <c r="O205" s="31">
        <f t="shared" ref="O205:O209" si="187">IF(ISNUMBER(O200),O200*63,"")</f>
        <v>315</v>
      </c>
      <c r="P205" s="32"/>
      <c r="Q205" s="47"/>
      <c r="R205" s="48"/>
      <c r="S205" s="31" t="str">
        <f t="shared" ref="S205:S209" si="188">IF(ISNUMBER(S200),S200*63,"")</f>
        <v/>
      </c>
      <c r="T205" s="32"/>
      <c r="U205" s="47"/>
      <c r="V205" s="48"/>
      <c r="W205" s="31" t="str">
        <f t="shared" ref="W205:W209" si="189">IF(ISNUMBER(W200),W200*63,"")</f>
        <v/>
      </c>
      <c r="X205" s="32"/>
      <c r="Y205" s="47"/>
      <c r="Z205" s="48"/>
      <c r="AA205" s="31">
        <f>IF(ISNUMBER(AA200),AA200*63,"")</f>
        <v>63</v>
      </c>
      <c r="AB205" s="32"/>
      <c r="AC205" s="47"/>
      <c r="AD205" s="48"/>
      <c r="AE205" s="31" t="str">
        <f t="shared" ref="AE205:AE209" si="190">IF(ISNUMBER(AE200),AE200*63,"")</f>
        <v/>
      </c>
      <c r="AF205" s="32"/>
      <c r="AG205" s="47"/>
      <c r="AH205" s="48"/>
      <c r="AI205" s="31" t="str">
        <f t="shared" ref="AI205:AI209" si="191">IF(ISNUMBER(AI200),AI200*63,"")</f>
        <v/>
      </c>
      <c r="AJ205" s="32"/>
      <c r="AK205" s="47"/>
      <c r="AL205" s="48"/>
      <c r="AM205" s="31">
        <f t="shared" ref="AM205:AM209" si="192">IF(ISNUMBER(AM200),AM200*63,"")</f>
        <v>63</v>
      </c>
      <c r="AN205" s="32"/>
      <c r="AO205" s="47"/>
      <c r="AP205" s="48"/>
      <c r="AQ205" s="31">
        <f t="shared" ref="AQ205:AQ209" si="193">IF(ISNUMBER(AQ200),AQ200*63,"")</f>
        <v>315</v>
      </c>
      <c r="AR205" s="32"/>
      <c r="AS205" s="47"/>
      <c r="AT205" s="48"/>
      <c r="AU205" s="31" t="str">
        <f t="shared" ref="AU205:AU209" si="194">IF(ISNUMBER(AU200),AU200*63,"")</f>
        <v/>
      </c>
      <c r="AV205" s="32"/>
      <c r="AW205" s="47"/>
      <c r="AX205" s="48"/>
      <c r="AY205" s="31" t="str">
        <f t="shared" ref="AY205:AY208" si="195">IF(ISNUMBER(AY200),AY200*63,"")</f>
        <v/>
      </c>
      <c r="AZ205" s="32"/>
      <c r="BA205" s="47"/>
      <c r="BB205" s="48"/>
      <c r="BC205" s="31" t="str">
        <f t="shared" ref="BC205:BC209" si="196">IF(ISNUMBER(BC200),BC200*63,"")</f>
        <v/>
      </c>
      <c r="BD205" s="32"/>
      <c r="BE205" s="47"/>
      <c r="BF205" s="48"/>
    </row>
    <row r="206" spans="2:58" ht="14" customHeight="1" x14ac:dyDescent="0.3">
      <c r="B206" s="758"/>
      <c r="C206" s="692"/>
      <c r="D206" s="274" t="s">
        <v>18</v>
      </c>
      <c r="E206" s="275" t="s">
        <v>179</v>
      </c>
      <c r="F206" s="276" t="s">
        <v>180</v>
      </c>
      <c r="G206" s="275" t="str">
        <f t="shared" ref="G206:G209" si="197">VLOOKUP(MID(E206,1,2),L$188:M$192,2,FALSE) &amp; " " &amp; VLOOKUP(MID(E206,4,2),L$188:M$192,2,FALSE)</f>
        <v>E B</v>
      </c>
      <c r="H206" s="276" t="str">
        <f t="shared" ref="H206:H209" si="198">VLOOKUP(MID(F206,1,2),L$188:M$192,2,FALSE) &amp; " " &amp; VLOOKUP(MID(F206,4,2),L$188:M$192,2,FALSE)</f>
        <v>H L</v>
      </c>
      <c r="I206" s="92">
        <v>315</v>
      </c>
      <c r="J206" s="88">
        <v>315</v>
      </c>
      <c r="K206" s="46" t="str">
        <f t="shared" si="186"/>
        <v/>
      </c>
      <c r="L206" s="47"/>
      <c r="M206" s="47"/>
      <c r="N206" s="48"/>
      <c r="O206" s="46">
        <f t="shared" si="187"/>
        <v>63</v>
      </c>
      <c r="P206" s="47"/>
      <c r="Q206" s="47"/>
      <c r="R206" s="48"/>
      <c r="S206" s="46" t="str">
        <f t="shared" si="188"/>
        <v/>
      </c>
      <c r="T206" s="47"/>
      <c r="U206" s="47"/>
      <c r="V206" s="48"/>
      <c r="W206" s="46" t="str">
        <f t="shared" si="189"/>
        <v/>
      </c>
      <c r="X206" s="47"/>
      <c r="Y206" s="47"/>
      <c r="Z206" s="48"/>
      <c r="AA206" s="46">
        <f>IF(ISNUMBER(AA201),AA201*63,"")</f>
        <v>63</v>
      </c>
      <c r="AB206" s="47"/>
      <c r="AC206" s="47"/>
      <c r="AD206" s="48"/>
      <c r="AE206" s="46" t="str">
        <f t="shared" si="190"/>
        <v/>
      </c>
      <c r="AF206" s="47"/>
      <c r="AG206" s="47"/>
      <c r="AH206" s="48"/>
      <c r="AI206" s="46" t="str">
        <f t="shared" si="191"/>
        <v/>
      </c>
      <c r="AJ206" s="47"/>
      <c r="AK206" s="47"/>
      <c r="AL206" s="48"/>
      <c r="AM206" s="46">
        <f t="shared" si="192"/>
        <v>315</v>
      </c>
      <c r="AN206" s="47"/>
      <c r="AO206" s="47"/>
      <c r="AP206" s="48"/>
      <c r="AQ206" s="46" t="str">
        <f t="shared" si="193"/>
        <v/>
      </c>
      <c r="AR206" s="47"/>
      <c r="AS206" s="47"/>
      <c r="AT206" s="48"/>
      <c r="AU206" s="46" t="str">
        <f t="shared" si="194"/>
        <v/>
      </c>
      <c r="AV206" s="47"/>
      <c r="AW206" s="47"/>
      <c r="AX206" s="48"/>
      <c r="AY206" s="46" t="str">
        <f t="shared" si="195"/>
        <v/>
      </c>
      <c r="AZ206" s="47"/>
      <c r="BA206" s="47"/>
      <c r="BB206" s="48"/>
      <c r="BC206" s="46">
        <f t="shared" si="196"/>
        <v>315</v>
      </c>
      <c r="BD206" s="47"/>
      <c r="BE206" s="47"/>
      <c r="BF206" s="48"/>
    </row>
    <row r="207" spans="2:58" ht="14" customHeight="1" x14ac:dyDescent="0.3">
      <c r="B207" s="758"/>
      <c r="C207" s="692"/>
      <c r="D207" s="274" t="s">
        <v>19</v>
      </c>
      <c r="E207" s="275" t="s">
        <v>181</v>
      </c>
      <c r="F207" s="276" t="s">
        <v>182</v>
      </c>
      <c r="G207" s="275" t="str">
        <f t="shared" si="197"/>
        <v>E L</v>
      </c>
      <c r="H207" s="276" t="str">
        <f t="shared" si="198"/>
        <v>H I</v>
      </c>
      <c r="I207" s="92">
        <v>315</v>
      </c>
      <c r="J207" s="88">
        <v>315</v>
      </c>
      <c r="K207" s="46" t="str">
        <f t="shared" si="186"/>
        <v/>
      </c>
      <c r="L207" s="47"/>
      <c r="M207" s="47"/>
      <c r="N207" s="48"/>
      <c r="O207" s="46" t="str">
        <f t="shared" si="187"/>
        <v/>
      </c>
      <c r="P207" s="47"/>
      <c r="Q207" s="47"/>
      <c r="R207" s="48"/>
      <c r="S207" s="46" t="str">
        <f t="shared" si="188"/>
        <v/>
      </c>
      <c r="T207" s="47"/>
      <c r="U207" s="47"/>
      <c r="V207" s="48"/>
      <c r="W207" s="46" t="str">
        <f t="shared" si="189"/>
        <v/>
      </c>
      <c r="X207" s="47"/>
      <c r="Y207" s="47"/>
      <c r="Z207" s="48"/>
      <c r="AA207" s="46">
        <f t="shared" ref="AA207:AA209" si="199">IF(ISNUMBER(AA202),AA202*63,"")</f>
        <v>315</v>
      </c>
      <c r="AB207" s="47"/>
      <c r="AC207" s="47"/>
      <c r="AD207" s="48"/>
      <c r="AE207" s="46" t="str">
        <f t="shared" si="190"/>
        <v/>
      </c>
      <c r="AF207" s="47"/>
      <c r="AG207" s="47"/>
      <c r="AH207" s="48"/>
      <c r="AI207" s="46" t="str">
        <f t="shared" si="191"/>
        <v/>
      </c>
      <c r="AJ207" s="47"/>
      <c r="AK207" s="47"/>
      <c r="AL207" s="48"/>
      <c r="AM207" s="46">
        <f t="shared" si="192"/>
        <v>189</v>
      </c>
      <c r="AN207" s="47"/>
      <c r="AO207" s="47"/>
      <c r="AP207" s="48"/>
      <c r="AQ207" s="46">
        <f t="shared" si="193"/>
        <v>189</v>
      </c>
      <c r="AR207" s="47"/>
      <c r="AS207" s="47"/>
      <c r="AT207" s="48"/>
      <c r="AU207" s="46" t="str">
        <f t="shared" si="194"/>
        <v/>
      </c>
      <c r="AV207" s="47"/>
      <c r="AW207" s="47"/>
      <c r="AX207" s="48"/>
      <c r="AY207" s="46" t="str">
        <f t="shared" si="195"/>
        <v/>
      </c>
      <c r="AZ207" s="47"/>
      <c r="BA207" s="47"/>
      <c r="BB207" s="48"/>
      <c r="BC207" s="46">
        <f t="shared" si="196"/>
        <v>315</v>
      </c>
      <c r="BD207" s="47"/>
      <c r="BE207" s="47"/>
      <c r="BF207" s="48"/>
    </row>
    <row r="208" spans="2:58" ht="14" customHeight="1" x14ac:dyDescent="0.3">
      <c r="B208" s="758"/>
      <c r="C208" s="692"/>
      <c r="D208" s="274" t="s">
        <v>20</v>
      </c>
      <c r="E208" s="275" t="s">
        <v>183</v>
      </c>
      <c r="F208" s="276" t="s">
        <v>184</v>
      </c>
      <c r="G208" s="275" t="str">
        <f t="shared" si="197"/>
        <v>E I</v>
      </c>
      <c r="H208" s="276" t="str">
        <f t="shared" si="198"/>
        <v>B L</v>
      </c>
      <c r="I208" s="92">
        <v>315</v>
      </c>
      <c r="J208" s="88">
        <v>315</v>
      </c>
      <c r="K208" s="33" t="str">
        <f t="shared" si="186"/>
        <v/>
      </c>
      <c r="L208" s="34"/>
      <c r="M208" s="34"/>
      <c r="N208" s="35"/>
      <c r="O208" s="33">
        <f t="shared" si="187"/>
        <v>252</v>
      </c>
      <c r="P208" s="34"/>
      <c r="Q208" s="34"/>
      <c r="R208" s="35"/>
      <c r="S208" s="33" t="str">
        <f t="shared" si="188"/>
        <v/>
      </c>
      <c r="T208" s="34"/>
      <c r="U208" s="34"/>
      <c r="V208" s="35"/>
      <c r="W208" s="33" t="str">
        <f t="shared" si="189"/>
        <v/>
      </c>
      <c r="X208" s="34"/>
      <c r="Y208" s="34"/>
      <c r="Z208" s="35"/>
      <c r="AA208" s="33">
        <f t="shared" si="199"/>
        <v>315</v>
      </c>
      <c r="AB208" s="34"/>
      <c r="AC208" s="34"/>
      <c r="AD208" s="35"/>
      <c r="AE208" s="33" t="str">
        <f t="shared" si="190"/>
        <v/>
      </c>
      <c r="AF208" s="34"/>
      <c r="AG208" s="34"/>
      <c r="AH208" s="35"/>
      <c r="AI208" s="33" t="str">
        <f t="shared" si="191"/>
        <v/>
      </c>
      <c r="AJ208" s="34"/>
      <c r="AK208" s="34"/>
      <c r="AL208" s="35"/>
      <c r="AM208" s="33" t="str">
        <f t="shared" si="192"/>
        <v/>
      </c>
      <c r="AN208" s="34"/>
      <c r="AO208" s="34"/>
      <c r="AP208" s="35"/>
      <c r="AQ208" s="33">
        <f t="shared" si="193"/>
        <v>315</v>
      </c>
      <c r="AR208" s="34"/>
      <c r="AS208" s="34"/>
      <c r="AT208" s="35"/>
      <c r="AU208" s="33" t="str">
        <f t="shared" si="194"/>
        <v/>
      </c>
      <c r="AV208" s="34"/>
      <c r="AW208" s="34"/>
      <c r="AX208" s="35"/>
      <c r="AY208" s="33" t="str">
        <f t="shared" si="195"/>
        <v/>
      </c>
      <c r="AZ208" s="34"/>
      <c r="BA208" s="34"/>
      <c r="BB208" s="35"/>
      <c r="BC208" s="33">
        <f t="shared" si="196"/>
        <v>252</v>
      </c>
      <c r="BD208" s="34"/>
      <c r="BE208" s="34"/>
      <c r="BF208" s="35"/>
    </row>
    <row r="209" spans="2:58" ht="14" customHeight="1" thickBot="1" x14ac:dyDescent="0.35">
      <c r="B209" s="758"/>
      <c r="C209" s="693"/>
      <c r="D209" s="277" t="s">
        <v>21</v>
      </c>
      <c r="E209" s="278" t="s">
        <v>185</v>
      </c>
      <c r="F209" s="279" t="s">
        <v>186</v>
      </c>
      <c r="G209" s="278" t="str">
        <f t="shared" si="197"/>
        <v>H B</v>
      </c>
      <c r="H209" s="279" t="str">
        <f t="shared" si="198"/>
        <v>I L</v>
      </c>
      <c r="I209" s="92">
        <v>315</v>
      </c>
      <c r="J209" s="88">
        <v>315</v>
      </c>
      <c r="K209" s="36" t="str">
        <f t="shared" si="186"/>
        <v/>
      </c>
      <c r="L209" s="37"/>
      <c r="M209" s="37"/>
      <c r="N209" s="38"/>
      <c r="O209" s="36">
        <f t="shared" si="187"/>
        <v>252</v>
      </c>
      <c r="P209" s="37"/>
      <c r="Q209" s="37"/>
      <c r="R209" s="38"/>
      <c r="S209" s="36" t="str">
        <f t="shared" si="188"/>
        <v/>
      </c>
      <c r="T209" s="37"/>
      <c r="U209" s="37"/>
      <c r="V209" s="38"/>
      <c r="W209" s="36" t="str">
        <f t="shared" si="189"/>
        <v/>
      </c>
      <c r="X209" s="37"/>
      <c r="Y209" s="37"/>
      <c r="Z209" s="38"/>
      <c r="AA209" s="36" t="str">
        <f t="shared" si="199"/>
        <v/>
      </c>
      <c r="AB209" s="37"/>
      <c r="AC209" s="37"/>
      <c r="AD209" s="38"/>
      <c r="AE209" s="36" t="str">
        <f t="shared" si="190"/>
        <v/>
      </c>
      <c r="AF209" s="37"/>
      <c r="AG209" s="37"/>
      <c r="AH209" s="38"/>
      <c r="AI209" s="36" t="str">
        <f t="shared" si="191"/>
        <v/>
      </c>
      <c r="AJ209" s="37"/>
      <c r="AK209" s="37"/>
      <c r="AL209" s="38"/>
      <c r="AM209" s="36">
        <f t="shared" si="192"/>
        <v>252</v>
      </c>
      <c r="AN209" s="37"/>
      <c r="AO209" s="37"/>
      <c r="AP209" s="38"/>
      <c r="AQ209" s="36">
        <f t="shared" si="193"/>
        <v>315</v>
      </c>
      <c r="AR209" s="37"/>
      <c r="AS209" s="37"/>
      <c r="AT209" s="38"/>
      <c r="AU209" s="36" t="str">
        <f t="shared" si="194"/>
        <v/>
      </c>
      <c r="AV209" s="37"/>
      <c r="AW209" s="37"/>
      <c r="AX209" s="38"/>
      <c r="AY209" s="36" t="str">
        <f>IF(ISNUMBER(AY204),AY204*63,"")</f>
        <v/>
      </c>
      <c r="AZ209" s="37"/>
      <c r="BA209" s="37"/>
      <c r="BB209" s="38"/>
      <c r="BC209" s="36">
        <f t="shared" si="196"/>
        <v>315</v>
      </c>
      <c r="BD209" s="37"/>
      <c r="BE209" s="37"/>
      <c r="BF209" s="38"/>
    </row>
    <row r="210" spans="2:58" ht="14" customHeight="1" x14ac:dyDescent="0.3">
      <c r="B210" s="758"/>
      <c r="C210" s="695" t="s">
        <v>153</v>
      </c>
      <c r="D210" s="441" t="s">
        <v>174</v>
      </c>
      <c r="E210" s="442" t="s">
        <v>187</v>
      </c>
      <c r="F210" s="443" t="s">
        <v>188</v>
      </c>
      <c r="G210" s="444" t="str">
        <f>VLOOKUP(E210,U$188:V$193,2,FALSE)</f>
        <v>J</v>
      </c>
      <c r="H210" s="445" t="str">
        <f>VLOOKUP(F210,U$188:V$193,2,FALSE)</f>
        <v>A</v>
      </c>
      <c r="I210" s="442">
        <v>159</v>
      </c>
      <c r="J210" s="443">
        <v>212</v>
      </c>
      <c r="K210" s="93"/>
      <c r="L210" s="7">
        <f>IF(ISNUMBER(FIND(K$13,$G210)),$I210,IF(ISNUMBER(FIND(K$13,$H210)),$J210,""))</f>
        <v>212</v>
      </c>
      <c r="M210" s="47"/>
      <c r="N210" s="48"/>
      <c r="O210" s="40"/>
      <c r="P210" s="39" t="str">
        <f t="shared" ref="P210:P216" si="200">IF(ISNUMBER(FIND(O$13,$G210)),$I210,IF(ISNUMBER(FIND(O$13,$H210)),$J210,""))</f>
        <v/>
      </c>
      <c r="Q210" s="47"/>
      <c r="R210" s="48"/>
      <c r="S210" s="40"/>
      <c r="T210" s="39" t="str">
        <f t="shared" ref="T210:T216" si="201">IF(ISNUMBER(FIND(S$13,$G210)),$I210,IF(ISNUMBER(FIND(S$13,$H210)),$J210,""))</f>
        <v/>
      </c>
      <c r="U210" s="47"/>
      <c r="V210" s="48"/>
      <c r="W210" s="40"/>
      <c r="X210" s="39" t="str">
        <f t="shared" ref="X210:X216" si="202">IF(ISNUMBER(FIND(W$13,$G210)),$I210,IF(ISNUMBER(FIND(W$13,$H210)),$J210,""))</f>
        <v/>
      </c>
      <c r="Y210" s="47"/>
      <c r="Z210" s="48"/>
      <c r="AA210" s="40"/>
      <c r="AB210" s="39" t="str">
        <f t="shared" ref="AB210:AB216" si="203">IF(ISNUMBER(FIND(AA$13,$G210)),$I210,IF(ISNUMBER(FIND(AA$13,$H210)),$J210,""))</f>
        <v/>
      </c>
      <c r="AC210" s="47"/>
      <c r="AD210" s="48"/>
      <c r="AE210" s="40"/>
      <c r="AF210" s="39" t="str">
        <f t="shared" ref="AF210:AF216" si="204">IF(ISNUMBER(FIND(AE$13,$G210)),$I210,IF(ISNUMBER(FIND(AE$13,$H210)),$J210,""))</f>
        <v/>
      </c>
      <c r="AG210" s="47"/>
      <c r="AH210" s="48"/>
      <c r="AI210" s="40"/>
      <c r="AJ210" s="39" t="str">
        <f t="shared" ref="AJ210:AJ216" si="205">IF(ISNUMBER(FIND(AI$13,$G210)),$I210,IF(ISNUMBER(FIND(AI$13,$H210)),$J210,""))</f>
        <v/>
      </c>
      <c r="AK210" s="47"/>
      <c r="AL210" s="48"/>
      <c r="AM210" s="40"/>
      <c r="AN210" s="39" t="str">
        <f t="shared" ref="AN210:AN216" si="206">IF(ISNUMBER(FIND(AM$13,$G210)),$I210,IF(ISNUMBER(FIND(AM$13,$H210)),$J210,""))</f>
        <v/>
      </c>
      <c r="AO210" s="47"/>
      <c r="AP210" s="48"/>
      <c r="AQ210" s="40"/>
      <c r="AR210" s="39" t="str">
        <f t="shared" ref="AR210:AR216" si="207">IF(ISNUMBER(FIND(AQ$13,$G210)),$I210,IF(ISNUMBER(FIND(AQ$13,$H210)),$J210,""))</f>
        <v/>
      </c>
      <c r="AS210" s="47"/>
      <c r="AT210" s="48"/>
      <c r="AU210" s="40"/>
      <c r="AV210" s="39">
        <f t="shared" ref="AV210:AV216" si="208">IF(ISNUMBER(FIND(AU$13,$G210)),$I210,IF(ISNUMBER(FIND(AU$13,$H210)),$J210,""))</f>
        <v>159</v>
      </c>
      <c r="AW210" s="47"/>
      <c r="AX210" s="48"/>
      <c r="AY210" s="40"/>
      <c r="AZ210" s="39" t="str">
        <f t="shared" ref="AZ210:AZ216" si="209">IF(ISNUMBER(FIND(AY$13,$G210)),$I210,IF(ISNUMBER(FIND(AY$13,$H210)),$J210,""))</f>
        <v/>
      </c>
      <c r="BA210" s="47"/>
      <c r="BB210" s="48"/>
      <c r="BC210" s="40"/>
      <c r="BD210" s="39" t="str">
        <f t="shared" ref="BD210:BD216" si="210">IF(ISNUMBER(FIND(BC$13,$G210)),$I210,IF(ISNUMBER(FIND(BC$13,$H210)),$J210,""))</f>
        <v/>
      </c>
      <c r="BE210" s="47"/>
      <c r="BF210" s="48"/>
    </row>
    <row r="211" spans="2:58" ht="14" customHeight="1" x14ac:dyDescent="0.3">
      <c r="B211" s="758"/>
      <c r="C211" s="696"/>
      <c r="D211" s="446" t="s">
        <v>175</v>
      </c>
      <c r="E211" s="447" t="s">
        <v>225</v>
      </c>
      <c r="F211" s="448" t="s">
        <v>189</v>
      </c>
      <c r="G211" s="447" t="str">
        <f>VLOOKUP(E211,U$188:V$193,2,FALSE)</f>
        <v>I</v>
      </c>
      <c r="H211" s="448" t="str">
        <f>VLOOKUP(F211,U$188:V$193,2,FALSE)</f>
        <v>E</v>
      </c>
      <c r="I211" s="447">
        <v>235</v>
      </c>
      <c r="J211" s="448">
        <v>236</v>
      </c>
      <c r="K211" s="94"/>
      <c r="L211" s="50" t="str">
        <f t="shared" ref="L211:L216" si="211">IF(ISNUMBER(FIND(K$13,$G211)),$I211,IF(ISNUMBER(FIND(K$13,$H211)),$J211,""))</f>
        <v/>
      </c>
      <c r="M211" s="47"/>
      <c r="N211" s="48"/>
      <c r="O211" s="51"/>
      <c r="P211" s="50" t="str">
        <f t="shared" si="200"/>
        <v/>
      </c>
      <c r="Q211" s="47"/>
      <c r="R211" s="48"/>
      <c r="S211" s="51"/>
      <c r="T211" s="50" t="str">
        <f t="shared" si="201"/>
        <v/>
      </c>
      <c r="U211" s="47"/>
      <c r="V211" s="48"/>
      <c r="W211" s="51"/>
      <c r="X211" s="50" t="str">
        <f t="shared" si="202"/>
        <v/>
      </c>
      <c r="Y211" s="47"/>
      <c r="Z211" s="48"/>
      <c r="AA211" s="51"/>
      <c r="AB211" s="50">
        <f t="shared" si="203"/>
        <v>236</v>
      </c>
      <c r="AC211" s="47"/>
      <c r="AD211" s="48"/>
      <c r="AE211" s="51"/>
      <c r="AF211" s="50" t="str">
        <f t="shared" si="204"/>
        <v/>
      </c>
      <c r="AG211" s="47"/>
      <c r="AH211" s="48"/>
      <c r="AI211" s="51"/>
      <c r="AJ211" s="50" t="str">
        <f t="shared" si="205"/>
        <v/>
      </c>
      <c r="AK211" s="47"/>
      <c r="AL211" s="48"/>
      <c r="AM211" s="51"/>
      <c r="AN211" s="50" t="str">
        <f t="shared" si="206"/>
        <v/>
      </c>
      <c r="AO211" s="47"/>
      <c r="AP211" s="48"/>
      <c r="AQ211" s="51"/>
      <c r="AR211" s="50">
        <f t="shared" si="207"/>
        <v>235</v>
      </c>
      <c r="AS211" s="47"/>
      <c r="AT211" s="48"/>
      <c r="AU211" s="51"/>
      <c r="AV211" s="50" t="str">
        <f t="shared" si="208"/>
        <v/>
      </c>
      <c r="AW211" s="47"/>
      <c r="AX211" s="48"/>
      <c r="AY211" s="51"/>
      <c r="AZ211" s="50" t="str">
        <f t="shared" si="209"/>
        <v/>
      </c>
      <c r="BA211" s="47"/>
      <c r="BB211" s="48"/>
      <c r="BC211" s="51"/>
      <c r="BD211" s="50" t="str">
        <f t="shared" si="210"/>
        <v/>
      </c>
      <c r="BE211" s="47"/>
      <c r="BF211" s="48"/>
    </row>
    <row r="212" spans="2:58" ht="14" customHeight="1" x14ac:dyDescent="0.3">
      <c r="B212" s="758"/>
      <c r="C212" s="696"/>
      <c r="D212" s="449" t="s">
        <v>176</v>
      </c>
      <c r="E212" s="447" t="s">
        <v>190</v>
      </c>
      <c r="F212" s="448" t="s">
        <v>191</v>
      </c>
      <c r="G212" s="447" t="str">
        <f>IF(J210&lt;I210,H210,IF(J210&gt;I210,G210,""))</f>
        <v>J</v>
      </c>
      <c r="H212" s="448" t="str">
        <f>IF(I211&lt;J211,G211,IF(I211&gt;J211,H211,""))</f>
        <v>I</v>
      </c>
      <c r="I212" s="447">
        <v>179</v>
      </c>
      <c r="J212" s="448">
        <v>168</v>
      </c>
      <c r="K212" s="95"/>
      <c r="L212" s="41" t="str">
        <f t="shared" si="211"/>
        <v/>
      </c>
      <c r="M212" s="47"/>
      <c r="N212" s="48"/>
      <c r="O212" s="42"/>
      <c r="P212" s="41" t="str">
        <f t="shared" si="200"/>
        <v/>
      </c>
      <c r="Q212" s="47"/>
      <c r="R212" s="48"/>
      <c r="S212" s="42"/>
      <c r="T212" s="41" t="str">
        <f t="shared" si="201"/>
        <v/>
      </c>
      <c r="U212" s="47"/>
      <c r="V212" s="48"/>
      <c r="W212" s="42"/>
      <c r="X212" s="41" t="str">
        <f t="shared" si="202"/>
        <v/>
      </c>
      <c r="Y212" s="47"/>
      <c r="Z212" s="48"/>
      <c r="AA212" s="42"/>
      <c r="AB212" s="41" t="str">
        <f t="shared" si="203"/>
        <v/>
      </c>
      <c r="AC212" s="47"/>
      <c r="AD212" s="48"/>
      <c r="AE212" s="42"/>
      <c r="AF212" s="41" t="str">
        <f t="shared" si="204"/>
        <v/>
      </c>
      <c r="AG212" s="47"/>
      <c r="AH212" s="48"/>
      <c r="AI212" s="42"/>
      <c r="AJ212" s="41" t="str">
        <f t="shared" si="205"/>
        <v/>
      </c>
      <c r="AK212" s="47"/>
      <c r="AL212" s="48"/>
      <c r="AM212" s="42"/>
      <c r="AN212" s="41" t="str">
        <f t="shared" si="206"/>
        <v/>
      </c>
      <c r="AO212" s="47"/>
      <c r="AP212" s="48"/>
      <c r="AQ212" s="42"/>
      <c r="AR212" s="41">
        <f t="shared" si="207"/>
        <v>168</v>
      </c>
      <c r="AS212" s="47"/>
      <c r="AT212" s="48"/>
      <c r="AU212" s="42"/>
      <c r="AV212" s="41">
        <f t="shared" si="208"/>
        <v>179</v>
      </c>
      <c r="AW212" s="47"/>
      <c r="AX212" s="48"/>
      <c r="AY212" s="42"/>
      <c r="AZ212" s="41" t="str">
        <f t="shared" si="209"/>
        <v/>
      </c>
      <c r="BA212" s="47"/>
      <c r="BB212" s="48"/>
      <c r="BC212" s="42"/>
      <c r="BD212" s="41" t="str">
        <f t="shared" si="210"/>
        <v/>
      </c>
      <c r="BE212" s="47"/>
      <c r="BF212" s="48"/>
    </row>
    <row r="213" spans="2:58" ht="14" customHeight="1" x14ac:dyDescent="0.3">
      <c r="B213" s="758"/>
      <c r="C213" s="696"/>
      <c r="D213" s="449" t="s">
        <v>91</v>
      </c>
      <c r="E213" s="447" t="s">
        <v>192</v>
      </c>
      <c r="F213" s="448" t="s">
        <v>193</v>
      </c>
      <c r="G213" s="447" t="str">
        <f>VLOOKUP(E213,U$188:V$193,2,FALSE)</f>
        <v>L</v>
      </c>
      <c r="H213" s="448" t="str">
        <f>IF(I210&gt;J210,G210,IF(I210&lt;J210,H210,""))</f>
        <v>A</v>
      </c>
      <c r="I213" s="447">
        <v>180</v>
      </c>
      <c r="J213" s="448">
        <v>187</v>
      </c>
      <c r="K213" s="95"/>
      <c r="L213" s="41">
        <f t="shared" si="211"/>
        <v>187</v>
      </c>
      <c r="M213" s="34"/>
      <c r="N213" s="35"/>
      <c r="O213" s="42"/>
      <c r="P213" s="41" t="str">
        <f t="shared" si="200"/>
        <v/>
      </c>
      <c r="Q213" s="34"/>
      <c r="R213" s="35"/>
      <c r="S213" s="42"/>
      <c r="T213" s="41" t="str">
        <f t="shared" si="201"/>
        <v/>
      </c>
      <c r="U213" s="34"/>
      <c r="V213" s="35"/>
      <c r="W213" s="42"/>
      <c r="X213" s="41" t="str">
        <f t="shared" si="202"/>
        <v/>
      </c>
      <c r="Y213" s="34"/>
      <c r="Z213" s="35"/>
      <c r="AA213" s="42"/>
      <c r="AB213" s="41" t="str">
        <f t="shared" si="203"/>
        <v/>
      </c>
      <c r="AC213" s="34"/>
      <c r="AD213" s="35"/>
      <c r="AE213" s="42"/>
      <c r="AF213" s="41" t="str">
        <f t="shared" si="204"/>
        <v/>
      </c>
      <c r="AG213" s="34"/>
      <c r="AH213" s="35"/>
      <c r="AI213" s="42"/>
      <c r="AJ213" s="41" t="str">
        <f t="shared" si="205"/>
        <v/>
      </c>
      <c r="AK213" s="34"/>
      <c r="AL213" s="35"/>
      <c r="AM213" s="42"/>
      <c r="AN213" s="41" t="str">
        <f t="shared" si="206"/>
        <v/>
      </c>
      <c r="AO213" s="34"/>
      <c r="AP213" s="35"/>
      <c r="AQ213" s="42"/>
      <c r="AR213" s="41" t="str">
        <f t="shared" si="207"/>
        <v/>
      </c>
      <c r="AS213" s="34"/>
      <c r="AT213" s="35"/>
      <c r="AU213" s="42"/>
      <c r="AV213" s="41" t="str">
        <f t="shared" si="208"/>
        <v/>
      </c>
      <c r="AW213" s="34"/>
      <c r="AX213" s="35"/>
      <c r="AY213" s="42"/>
      <c r="AZ213" s="41" t="str">
        <f t="shared" si="209"/>
        <v/>
      </c>
      <c r="BA213" s="34"/>
      <c r="BB213" s="35"/>
      <c r="BC213" s="42"/>
      <c r="BD213" s="41">
        <f t="shared" si="210"/>
        <v>180</v>
      </c>
      <c r="BE213" s="34"/>
      <c r="BF213" s="35"/>
    </row>
    <row r="214" spans="2:58" ht="14" customHeight="1" x14ac:dyDescent="0.3">
      <c r="B214" s="758"/>
      <c r="C214" s="696"/>
      <c r="D214" s="449" t="s">
        <v>94</v>
      </c>
      <c r="E214" s="447" t="s">
        <v>194</v>
      </c>
      <c r="F214" s="448" t="s">
        <v>195</v>
      </c>
      <c r="G214" s="447" t="str">
        <f>VLOOKUP(E214,U$188:V$193,2,FALSE)</f>
        <v>F</v>
      </c>
      <c r="H214" s="448" t="str">
        <f>IF(I211&gt;J211,G211,IF(I211&lt;J211,H211,""))</f>
        <v>E</v>
      </c>
      <c r="I214" s="447">
        <v>94</v>
      </c>
      <c r="J214" s="448">
        <v>228</v>
      </c>
      <c r="K214" s="95"/>
      <c r="L214" s="41" t="str">
        <f t="shared" si="211"/>
        <v/>
      </c>
      <c r="M214" s="47"/>
      <c r="N214" s="48"/>
      <c r="O214" s="42"/>
      <c r="P214" s="41" t="str">
        <f t="shared" si="200"/>
        <v/>
      </c>
      <c r="Q214" s="47"/>
      <c r="R214" s="48"/>
      <c r="S214" s="42"/>
      <c r="T214" s="41" t="str">
        <f t="shared" si="201"/>
        <v/>
      </c>
      <c r="U214" s="47"/>
      <c r="V214" s="48"/>
      <c r="W214" s="42"/>
      <c r="X214" s="41" t="str">
        <f t="shared" si="202"/>
        <v/>
      </c>
      <c r="Y214" s="47"/>
      <c r="Z214" s="48"/>
      <c r="AA214" s="42"/>
      <c r="AB214" s="41">
        <f t="shared" si="203"/>
        <v>228</v>
      </c>
      <c r="AC214" s="47"/>
      <c r="AD214" s="48"/>
      <c r="AE214" s="42"/>
      <c r="AF214" s="41">
        <f t="shared" si="204"/>
        <v>94</v>
      </c>
      <c r="AG214" s="47"/>
      <c r="AH214" s="48"/>
      <c r="AI214" s="42"/>
      <c r="AJ214" s="41" t="str">
        <f t="shared" si="205"/>
        <v/>
      </c>
      <c r="AK214" s="47"/>
      <c r="AL214" s="48"/>
      <c r="AM214" s="42"/>
      <c r="AN214" s="41" t="str">
        <f t="shared" si="206"/>
        <v/>
      </c>
      <c r="AO214" s="47"/>
      <c r="AP214" s="48"/>
      <c r="AQ214" s="42"/>
      <c r="AR214" s="41" t="str">
        <f t="shared" si="207"/>
        <v/>
      </c>
      <c r="AS214" s="47"/>
      <c r="AT214" s="48"/>
      <c r="AU214" s="42"/>
      <c r="AV214" s="41" t="str">
        <f t="shared" si="208"/>
        <v/>
      </c>
      <c r="AW214" s="47"/>
      <c r="AX214" s="48"/>
      <c r="AY214" s="42"/>
      <c r="AZ214" s="41" t="str">
        <f t="shared" si="209"/>
        <v/>
      </c>
      <c r="BA214" s="47"/>
      <c r="BB214" s="48"/>
      <c r="BC214" s="42"/>
      <c r="BD214" s="41" t="str">
        <f t="shared" si="210"/>
        <v/>
      </c>
      <c r="BE214" s="47"/>
      <c r="BF214" s="48"/>
    </row>
    <row r="215" spans="2:58" ht="14" customHeight="1" x14ac:dyDescent="0.3">
      <c r="B215" s="758"/>
      <c r="C215" s="696"/>
      <c r="D215" s="449" t="s">
        <v>163</v>
      </c>
      <c r="E215" s="447" t="s">
        <v>196</v>
      </c>
      <c r="F215" s="448" t="s">
        <v>197</v>
      </c>
      <c r="G215" s="447" t="str">
        <f>IF(I213&lt;J213,G213,H213)</f>
        <v>L</v>
      </c>
      <c r="H215" s="448" t="str">
        <f>IF(I214&lt;J214,G214,H214)</f>
        <v>F</v>
      </c>
      <c r="I215" s="447">
        <v>173</v>
      </c>
      <c r="J215" s="448">
        <v>168</v>
      </c>
      <c r="K215" s="95"/>
      <c r="L215" s="41" t="str">
        <f t="shared" si="211"/>
        <v/>
      </c>
      <c r="M215" s="34"/>
      <c r="N215" s="35"/>
      <c r="O215" s="42"/>
      <c r="P215" s="41" t="str">
        <f t="shared" si="200"/>
        <v/>
      </c>
      <c r="Q215" s="34"/>
      <c r="R215" s="35"/>
      <c r="S215" s="42"/>
      <c r="T215" s="41" t="str">
        <f t="shared" si="201"/>
        <v/>
      </c>
      <c r="U215" s="34"/>
      <c r="V215" s="35"/>
      <c r="W215" s="42"/>
      <c r="X215" s="41" t="str">
        <f t="shared" si="202"/>
        <v/>
      </c>
      <c r="Y215" s="34"/>
      <c r="Z215" s="35"/>
      <c r="AA215" s="42"/>
      <c r="AB215" s="41" t="str">
        <f t="shared" si="203"/>
        <v/>
      </c>
      <c r="AC215" s="34"/>
      <c r="AD215" s="35"/>
      <c r="AE215" s="42"/>
      <c r="AF215" s="41">
        <f t="shared" si="204"/>
        <v>168</v>
      </c>
      <c r="AG215" s="34"/>
      <c r="AH215" s="35"/>
      <c r="AI215" s="42"/>
      <c r="AJ215" s="41" t="str">
        <f t="shared" si="205"/>
        <v/>
      </c>
      <c r="AK215" s="34"/>
      <c r="AL215" s="35"/>
      <c r="AM215" s="42"/>
      <c r="AN215" s="41" t="str">
        <f t="shared" si="206"/>
        <v/>
      </c>
      <c r="AO215" s="34"/>
      <c r="AP215" s="35"/>
      <c r="AQ215" s="42"/>
      <c r="AR215" s="41" t="str">
        <f t="shared" si="207"/>
        <v/>
      </c>
      <c r="AS215" s="34"/>
      <c r="AT215" s="35"/>
      <c r="AU215" s="42"/>
      <c r="AV215" s="41" t="str">
        <f t="shared" si="208"/>
        <v/>
      </c>
      <c r="AW215" s="34"/>
      <c r="AX215" s="35"/>
      <c r="AY215" s="42"/>
      <c r="AZ215" s="41" t="str">
        <f t="shared" si="209"/>
        <v/>
      </c>
      <c r="BA215" s="34"/>
      <c r="BB215" s="35"/>
      <c r="BC215" s="42"/>
      <c r="BD215" s="41">
        <f t="shared" si="210"/>
        <v>173</v>
      </c>
      <c r="BE215" s="34"/>
      <c r="BF215" s="35"/>
    </row>
    <row r="216" spans="2:58" ht="14" customHeight="1" thickBot="1" x14ac:dyDescent="0.35">
      <c r="B216" s="758"/>
      <c r="C216" s="697"/>
      <c r="D216" s="450" t="s">
        <v>164</v>
      </c>
      <c r="E216" s="451" t="s">
        <v>198</v>
      </c>
      <c r="F216" s="452" t="s">
        <v>199</v>
      </c>
      <c r="G216" s="451" t="str">
        <f>IF(I213&gt;J213,G213,H213)</f>
        <v>A</v>
      </c>
      <c r="H216" s="452" t="str">
        <f>IF(I214&gt;J214,G214,H214)</f>
        <v>E</v>
      </c>
      <c r="I216" s="451">
        <v>230</v>
      </c>
      <c r="J216" s="452">
        <v>149</v>
      </c>
      <c r="K216" s="96"/>
      <c r="L216" s="43">
        <f t="shared" si="211"/>
        <v>230</v>
      </c>
      <c r="M216" s="37"/>
      <c r="N216" s="38"/>
      <c r="O216" s="44"/>
      <c r="P216" s="43" t="str">
        <f t="shared" si="200"/>
        <v/>
      </c>
      <c r="Q216" s="37"/>
      <c r="R216" s="38"/>
      <c r="S216" s="44"/>
      <c r="T216" s="43" t="str">
        <f t="shared" si="201"/>
        <v/>
      </c>
      <c r="U216" s="37"/>
      <c r="V216" s="38"/>
      <c r="W216" s="44"/>
      <c r="X216" s="43" t="str">
        <f t="shared" si="202"/>
        <v/>
      </c>
      <c r="Y216" s="37"/>
      <c r="Z216" s="38"/>
      <c r="AA216" s="44"/>
      <c r="AB216" s="43">
        <f t="shared" si="203"/>
        <v>149</v>
      </c>
      <c r="AC216" s="37"/>
      <c r="AD216" s="38"/>
      <c r="AE216" s="44"/>
      <c r="AF216" s="43" t="str">
        <f t="shared" si="204"/>
        <v/>
      </c>
      <c r="AG216" s="37"/>
      <c r="AH216" s="38"/>
      <c r="AI216" s="44"/>
      <c r="AJ216" s="43" t="str">
        <f t="shared" si="205"/>
        <v/>
      </c>
      <c r="AK216" s="37"/>
      <c r="AL216" s="38"/>
      <c r="AM216" s="44"/>
      <c r="AN216" s="43" t="str">
        <f t="shared" si="206"/>
        <v/>
      </c>
      <c r="AO216" s="37"/>
      <c r="AP216" s="38"/>
      <c r="AQ216" s="44"/>
      <c r="AR216" s="43" t="str">
        <f t="shared" si="207"/>
        <v/>
      </c>
      <c r="AS216" s="37"/>
      <c r="AT216" s="38"/>
      <c r="AU216" s="44"/>
      <c r="AV216" s="43" t="str">
        <f t="shared" si="208"/>
        <v/>
      </c>
      <c r="AW216" s="37"/>
      <c r="AX216" s="38"/>
      <c r="AY216" s="44"/>
      <c r="AZ216" s="43" t="str">
        <f t="shared" si="209"/>
        <v/>
      </c>
      <c r="BA216" s="37"/>
      <c r="BB216" s="38"/>
      <c r="BC216" s="44"/>
      <c r="BD216" s="43" t="str">
        <f t="shared" si="210"/>
        <v/>
      </c>
      <c r="BE216" s="37"/>
      <c r="BF216" s="38"/>
    </row>
    <row r="217" spans="2:58" ht="14" customHeight="1" x14ac:dyDescent="0.3">
      <c r="B217" s="758"/>
      <c r="C217" s="695" t="s">
        <v>226</v>
      </c>
      <c r="D217" s="441" t="s">
        <v>174</v>
      </c>
      <c r="E217" s="442" t="s">
        <v>187</v>
      </c>
      <c r="F217" s="443" t="s">
        <v>188</v>
      </c>
      <c r="G217" s="444" t="str">
        <f>G210</f>
        <v>J</v>
      </c>
      <c r="H217" s="445" t="str">
        <f t="shared" ref="H217:H223" si="212">H210</f>
        <v>A</v>
      </c>
      <c r="I217" s="383">
        <f t="shared" ref="I217:J217" si="213">IF(ISNUMBER(I210),I210/MAX($K210:$BE210)*100*2.1,"")</f>
        <v>157.5</v>
      </c>
      <c r="J217" s="384">
        <f t="shared" si="213"/>
        <v>210</v>
      </c>
      <c r="K217" s="27"/>
      <c r="L217" s="30"/>
      <c r="M217" s="47"/>
      <c r="N217" s="48"/>
      <c r="O217" s="40"/>
      <c r="P217" s="30"/>
      <c r="Q217" s="47"/>
      <c r="R217" s="48"/>
      <c r="S217" s="40"/>
      <c r="T217" s="30"/>
      <c r="U217" s="47"/>
      <c r="V217" s="48"/>
      <c r="W217" s="40"/>
      <c r="X217" s="30"/>
      <c r="Y217" s="47"/>
      <c r="Z217" s="48"/>
      <c r="AA217" s="40"/>
      <c r="AB217" s="30"/>
      <c r="AC217" s="47"/>
      <c r="AD217" s="48"/>
      <c r="AE217" s="40"/>
      <c r="AF217" s="30"/>
      <c r="AG217" s="47"/>
      <c r="AH217" s="48"/>
      <c r="AI217" s="40"/>
      <c r="AJ217" s="30"/>
      <c r="AK217" s="47"/>
      <c r="AL217" s="48"/>
      <c r="AM217" s="40"/>
      <c r="AN217" s="30"/>
      <c r="AO217" s="47"/>
      <c r="AP217" s="48"/>
      <c r="AQ217" s="40"/>
      <c r="AR217" s="30"/>
      <c r="AS217" s="47"/>
      <c r="AT217" s="48"/>
      <c r="AU217" s="40"/>
      <c r="AV217" s="30"/>
      <c r="AW217" s="47"/>
      <c r="AX217" s="48"/>
      <c r="AY217" s="40"/>
      <c r="AZ217" s="30"/>
      <c r="BA217" s="47"/>
      <c r="BB217" s="48"/>
      <c r="BC217" s="40"/>
      <c r="BD217" s="30"/>
      <c r="BE217" s="47"/>
      <c r="BF217" s="48"/>
    </row>
    <row r="218" spans="2:58" ht="14" customHeight="1" x14ac:dyDescent="0.3">
      <c r="B218" s="758"/>
      <c r="C218" s="696"/>
      <c r="D218" s="446" t="s">
        <v>175</v>
      </c>
      <c r="E218" s="447" t="s">
        <v>225</v>
      </c>
      <c r="F218" s="448" t="s">
        <v>189</v>
      </c>
      <c r="G218" s="447" t="str">
        <f t="shared" ref="G218:G223" si="214">G211</f>
        <v>I</v>
      </c>
      <c r="H218" s="448" t="str">
        <f t="shared" si="212"/>
        <v>E</v>
      </c>
      <c r="I218" s="383">
        <f t="shared" ref="I218:J218" si="215">IF(ISNUMBER(I211),I211/MAX($K211:$BE211)*100*2.1,"")</f>
        <v>209.11016949152543</v>
      </c>
      <c r="J218" s="384">
        <f t="shared" si="215"/>
        <v>210</v>
      </c>
      <c r="K218" s="49"/>
      <c r="L218" s="52"/>
      <c r="M218" s="47"/>
      <c r="N218" s="48"/>
      <c r="O218" s="51"/>
      <c r="P218" s="52"/>
      <c r="Q218" s="47"/>
      <c r="R218" s="48"/>
      <c r="S218" s="51"/>
      <c r="T218" s="52"/>
      <c r="U218" s="47"/>
      <c r="V218" s="48"/>
      <c r="W218" s="51"/>
      <c r="X218" s="52"/>
      <c r="Y218" s="47"/>
      <c r="Z218" s="48"/>
      <c r="AA218" s="51"/>
      <c r="AB218" s="52"/>
      <c r="AC218" s="47"/>
      <c r="AD218" s="48"/>
      <c r="AE218" s="51"/>
      <c r="AF218" s="52"/>
      <c r="AG218" s="47"/>
      <c r="AH218" s="48"/>
      <c r="AI218" s="51"/>
      <c r="AJ218" s="52"/>
      <c r="AK218" s="47"/>
      <c r="AL218" s="48"/>
      <c r="AM218" s="51"/>
      <c r="AN218" s="52"/>
      <c r="AO218" s="47"/>
      <c r="AP218" s="48"/>
      <c r="AQ218" s="51"/>
      <c r="AR218" s="52"/>
      <c r="AS218" s="47"/>
      <c r="AT218" s="48"/>
      <c r="AU218" s="51"/>
      <c r="AV218" s="52"/>
      <c r="AW218" s="47"/>
      <c r="AX218" s="48"/>
      <c r="AY218" s="51"/>
      <c r="AZ218" s="52"/>
      <c r="BA218" s="47"/>
      <c r="BB218" s="48"/>
      <c r="BC218" s="51"/>
      <c r="BD218" s="52"/>
      <c r="BE218" s="47"/>
      <c r="BF218" s="48"/>
    </row>
    <row r="219" spans="2:58" ht="14" customHeight="1" x14ac:dyDescent="0.3">
      <c r="B219" s="758"/>
      <c r="C219" s="696"/>
      <c r="D219" s="449" t="s">
        <v>176</v>
      </c>
      <c r="E219" s="447" t="s">
        <v>190</v>
      </c>
      <c r="F219" s="448" t="s">
        <v>191</v>
      </c>
      <c r="G219" s="447" t="str">
        <f t="shared" si="214"/>
        <v>J</v>
      </c>
      <c r="H219" s="448" t="str">
        <f t="shared" si="212"/>
        <v>I</v>
      </c>
      <c r="I219" s="383">
        <f>IF(ISNUMBER(I212),I212/MAX($K212:$BE212)*100*2.1,"")</f>
        <v>210</v>
      </c>
      <c r="J219" s="384">
        <f>IF(ISNUMBER(J212),J212/MAX($K212:$BE212)*100*2.1,"")</f>
        <v>197.09497206703909</v>
      </c>
      <c r="K219" s="28"/>
      <c r="L219" s="41" t="str">
        <f>IF(ISNUMBER(L212),L212/MAX($K212:$BE212)*100*2.1,"")</f>
        <v/>
      </c>
      <c r="M219" s="47"/>
      <c r="N219" s="48"/>
      <c r="O219" s="42"/>
      <c r="P219" s="41" t="str">
        <f>IF(ISNUMBER(P212),P212/MAX($K212:$BE212)*100*2.1,"")</f>
        <v/>
      </c>
      <c r="Q219" s="47"/>
      <c r="R219" s="48"/>
      <c r="S219" s="42"/>
      <c r="T219" s="41" t="str">
        <f>IF(ISNUMBER(T212),T212/MAX($K212:$BE212)*100*2.1,"")</f>
        <v/>
      </c>
      <c r="U219" s="47"/>
      <c r="V219" s="48"/>
      <c r="W219" s="42"/>
      <c r="X219" s="41" t="str">
        <f>IF(ISNUMBER(X212),X212/MAX($K212:$BE212)*100*2.1,"")</f>
        <v/>
      </c>
      <c r="Y219" s="47"/>
      <c r="Z219" s="48"/>
      <c r="AA219" s="42"/>
      <c r="AB219" s="41" t="str">
        <f>IF(ISNUMBER(AB212),AB212/MAX($K212:$BE212)*100*2.1,"")</f>
        <v/>
      </c>
      <c r="AC219" s="47"/>
      <c r="AD219" s="48"/>
      <c r="AE219" s="42"/>
      <c r="AF219" s="41" t="str">
        <f>IF(ISNUMBER(AF212),AF212/MAX($K212:$BE212)*100*2.1,"")</f>
        <v/>
      </c>
      <c r="AG219" s="47"/>
      <c r="AH219" s="48"/>
      <c r="AI219" s="42"/>
      <c r="AJ219" s="41" t="str">
        <f>IF(ISNUMBER(AJ212),AJ212/MAX($K212:$BE212)*100*2.1,"")</f>
        <v/>
      </c>
      <c r="AK219" s="47"/>
      <c r="AL219" s="48"/>
      <c r="AM219" s="42"/>
      <c r="AN219" s="41" t="str">
        <f>IF(ISNUMBER(AN212),AN212/MAX($K212:$BE212)*100*2.1,"")</f>
        <v/>
      </c>
      <c r="AO219" s="47"/>
      <c r="AP219" s="48"/>
      <c r="AQ219" s="42"/>
      <c r="AR219" s="41">
        <f>IF(ISNUMBER(AR212),AR212/MAX($K212:$BE212)*100*2.1,"")</f>
        <v>197.09497206703909</v>
      </c>
      <c r="AS219" s="47"/>
      <c r="AT219" s="48"/>
      <c r="AU219" s="42"/>
      <c r="AV219" s="41">
        <f>IF(ISNUMBER(AV212),AV212/MAX($K212:$BE212)*100*2.1,"")</f>
        <v>210</v>
      </c>
      <c r="AW219" s="47"/>
      <c r="AX219" s="48"/>
      <c r="AY219" s="42"/>
      <c r="AZ219" s="41" t="str">
        <f>IF(ISNUMBER(AZ212),AZ212/MAX($K212:$BE212)*100*2.1,"")</f>
        <v/>
      </c>
      <c r="BA219" s="47"/>
      <c r="BB219" s="48"/>
      <c r="BC219" s="42"/>
      <c r="BD219" s="41" t="str">
        <f>IF(ISNUMBER(BD212),BD212/MAX($K212:$BE212)*100*2.1,"")</f>
        <v/>
      </c>
      <c r="BE219" s="47"/>
      <c r="BF219" s="48"/>
    </row>
    <row r="220" spans="2:58" ht="14" customHeight="1" x14ac:dyDescent="0.3">
      <c r="B220" s="758"/>
      <c r="C220" s="696"/>
      <c r="D220" s="449" t="s">
        <v>91</v>
      </c>
      <c r="E220" s="447" t="s">
        <v>192</v>
      </c>
      <c r="F220" s="448" t="s">
        <v>193</v>
      </c>
      <c r="G220" s="447" t="str">
        <f t="shared" si="214"/>
        <v>L</v>
      </c>
      <c r="H220" s="448" t="str">
        <f t="shared" si="212"/>
        <v>A</v>
      </c>
      <c r="I220" s="383">
        <f t="shared" ref="I220:J220" si="216">IF(ISNUMBER(I213),I213/MAX($K213:$BE213)*100*2.1,"")</f>
        <v>202.13903743315507</v>
      </c>
      <c r="J220" s="384">
        <f t="shared" si="216"/>
        <v>210</v>
      </c>
      <c r="K220" s="28"/>
      <c r="L220" s="47"/>
      <c r="M220" s="34"/>
      <c r="N220" s="35"/>
      <c r="O220" s="42"/>
      <c r="P220" s="47"/>
      <c r="Q220" s="34"/>
      <c r="R220" s="35"/>
      <c r="S220" s="42"/>
      <c r="T220" s="47"/>
      <c r="U220" s="34"/>
      <c r="V220" s="35"/>
      <c r="W220" s="42"/>
      <c r="X220" s="47"/>
      <c r="Y220" s="34"/>
      <c r="Z220" s="35"/>
      <c r="AA220" s="42"/>
      <c r="AB220" s="47"/>
      <c r="AC220" s="34"/>
      <c r="AD220" s="35"/>
      <c r="AE220" s="42"/>
      <c r="AF220" s="47"/>
      <c r="AG220" s="34"/>
      <c r="AH220" s="35"/>
      <c r="AI220" s="42"/>
      <c r="AJ220" s="47"/>
      <c r="AK220" s="34"/>
      <c r="AL220" s="35"/>
      <c r="AM220" s="42"/>
      <c r="AN220" s="47"/>
      <c r="AO220" s="34"/>
      <c r="AP220" s="35"/>
      <c r="AQ220" s="42"/>
      <c r="AR220" s="47"/>
      <c r="AS220" s="34"/>
      <c r="AT220" s="35"/>
      <c r="AU220" s="42"/>
      <c r="AV220" s="47"/>
      <c r="AW220" s="34"/>
      <c r="AX220" s="35"/>
      <c r="AY220" s="42"/>
      <c r="AZ220" s="47"/>
      <c r="BA220" s="34"/>
      <c r="BB220" s="35"/>
      <c r="BC220" s="42"/>
      <c r="BD220" s="47"/>
      <c r="BE220" s="34"/>
      <c r="BF220" s="35"/>
    </row>
    <row r="221" spans="2:58" ht="14" customHeight="1" x14ac:dyDescent="0.3">
      <c r="B221" s="758"/>
      <c r="C221" s="696"/>
      <c r="D221" s="449" t="s">
        <v>94</v>
      </c>
      <c r="E221" s="447" t="s">
        <v>194</v>
      </c>
      <c r="F221" s="448" t="s">
        <v>195</v>
      </c>
      <c r="G221" s="447" t="str">
        <f t="shared" si="214"/>
        <v>F</v>
      </c>
      <c r="H221" s="448" t="str">
        <f t="shared" si="212"/>
        <v>E</v>
      </c>
      <c r="I221" s="383">
        <f t="shared" ref="I221:J221" si="217">IF(ISNUMBER(I214),I214/MAX($K214:$BE214)*100*2.1,"")</f>
        <v>86.578947368421055</v>
      </c>
      <c r="J221" s="384">
        <f t="shared" si="217"/>
        <v>210</v>
      </c>
      <c r="K221" s="28"/>
      <c r="L221" s="34"/>
      <c r="M221" s="47"/>
      <c r="N221" s="48"/>
      <c r="O221" s="42"/>
      <c r="P221" s="34"/>
      <c r="Q221" s="47"/>
      <c r="R221" s="48"/>
      <c r="S221" s="42"/>
      <c r="T221" s="34"/>
      <c r="U221" s="47"/>
      <c r="V221" s="48"/>
      <c r="W221" s="42"/>
      <c r="X221" s="34"/>
      <c r="Y221" s="47"/>
      <c r="Z221" s="48"/>
      <c r="AA221" s="42"/>
      <c r="AB221" s="34"/>
      <c r="AC221" s="47"/>
      <c r="AD221" s="48"/>
      <c r="AE221" s="42"/>
      <c r="AF221" s="34"/>
      <c r="AG221" s="47"/>
      <c r="AH221" s="48"/>
      <c r="AI221" s="42"/>
      <c r="AJ221" s="34"/>
      <c r="AK221" s="47"/>
      <c r="AL221" s="48"/>
      <c r="AM221" s="42"/>
      <c r="AN221" s="34"/>
      <c r="AO221" s="47"/>
      <c r="AP221" s="48"/>
      <c r="AQ221" s="42"/>
      <c r="AR221" s="34"/>
      <c r="AS221" s="47"/>
      <c r="AT221" s="48"/>
      <c r="AU221" s="42"/>
      <c r="AV221" s="34"/>
      <c r="AW221" s="47"/>
      <c r="AX221" s="48"/>
      <c r="AY221" s="42"/>
      <c r="AZ221" s="34"/>
      <c r="BA221" s="47"/>
      <c r="BB221" s="48"/>
      <c r="BC221" s="42"/>
      <c r="BD221" s="34"/>
      <c r="BE221" s="47"/>
      <c r="BF221" s="48"/>
    </row>
    <row r="222" spans="2:58" ht="14" customHeight="1" x14ac:dyDescent="0.3">
      <c r="B222" s="758"/>
      <c r="C222" s="696"/>
      <c r="D222" s="449" t="s">
        <v>163</v>
      </c>
      <c r="E222" s="447" t="s">
        <v>196</v>
      </c>
      <c r="F222" s="448" t="s">
        <v>197</v>
      </c>
      <c r="G222" s="447" t="str">
        <f t="shared" si="214"/>
        <v>L</v>
      </c>
      <c r="H222" s="448" t="str">
        <f t="shared" si="212"/>
        <v>F</v>
      </c>
      <c r="I222" s="383">
        <f t="shared" ref="I222:J222" si="218">IF(ISNUMBER(I215),I215/MAX($K215:$BE215)*100*2.1,"")</f>
        <v>210</v>
      </c>
      <c r="J222" s="384">
        <f t="shared" si="218"/>
        <v>203.93063583815029</v>
      </c>
      <c r="K222" s="28"/>
      <c r="L222" s="41" t="str">
        <f>IF(ISNUMBER(L215),(150+L215/MAX($K215:$BE215)*150)*2.1,"")</f>
        <v/>
      </c>
      <c r="M222" s="34"/>
      <c r="N222" s="35"/>
      <c r="O222" s="42"/>
      <c r="P222" s="41" t="str">
        <f>IF(ISNUMBER(P215),(150+P215/MAX($K215:$BE215)*150)*2.1,"")</f>
        <v/>
      </c>
      <c r="Q222" s="34"/>
      <c r="R222" s="35"/>
      <c r="S222" s="42"/>
      <c r="T222" s="41" t="str">
        <f>IF(ISNUMBER(T215),(150+T215/MAX($K215:$BE215)*150)*2.1,"")</f>
        <v/>
      </c>
      <c r="U222" s="34"/>
      <c r="V222" s="35"/>
      <c r="W222" s="42"/>
      <c r="X222" s="41" t="str">
        <f>IF(ISNUMBER(X215),(150+X215/MAX($K215:$BE215)*150)*2.1,"")</f>
        <v/>
      </c>
      <c r="Y222" s="34"/>
      <c r="Z222" s="35"/>
      <c r="AA222" s="42"/>
      <c r="AB222" s="41" t="str">
        <f>IF(ISNUMBER(AB215),(150+AB215/MAX($K215:$BE215)*150)*2.1,"")</f>
        <v/>
      </c>
      <c r="AC222" s="34"/>
      <c r="AD222" s="35"/>
      <c r="AE222" s="42"/>
      <c r="AF222" s="41">
        <f>IF(ISNUMBER(AF215),(150+AF215/MAX($K215:$BE215)*150)*2.1,"")</f>
        <v>620.89595375722547</v>
      </c>
      <c r="AG222" s="34"/>
      <c r="AH222" s="35"/>
      <c r="AI222" s="42"/>
      <c r="AJ222" s="41" t="str">
        <f>IF(ISNUMBER(AJ215),(150+AJ215/MAX($K215:$BE215)*150)*2.1,"")</f>
        <v/>
      </c>
      <c r="AK222" s="34"/>
      <c r="AL222" s="35"/>
      <c r="AM222" s="42"/>
      <c r="AN222" s="41" t="str">
        <f>IF(ISNUMBER(AN215),(150+AN215/MAX($K215:$BE215)*150)*2.1,"")</f>
        <v/>
      </c>
      <c r="AO222" s="34"/>
      <c r="AP222" s="35"/>
      <c r="AQ222" s="42"/>
      <c r="AR222" s="41" t="str">
        <f>IF(ISNUMBER(AR215),(150+AR215/MAX($K215:$BE215)*150)*2.1,"")</f>
        <v/>
      </c>
      <c r="AS222" s="34"/>
      <c r="AT222" s="35"/>
      <c r="AU222" s="42"/>
      <c r="AV222" s="41" t="str">
        <f>IF(ISNUMBER(AV215),(150+AV215/MAX($K215:$BE215)*150)*2.1,"")</f>
        <v/>
      </c>
      <c r="AW222" s="34"/>
      <c r="AX222" s="35"/>
      <c r="AY222" s="42"/>
      <c r="AZ222" s="41" t="str">
        <f>IF(ISNUMBER(AZ215),(150+AZ215/MAX($K215:$BE215)*150)*2.1,"")</f>
        <v/>
      </c>
      <c r="BA222" s="34"/>
      <c r="BB222" s="35"/>
      <c r="BC222" s="42"/>
      <c r="BD222" s="41">
        <f>IF(ISNUMBER(BD215),(150+BD215/MAX($K215:$BE215)*150)*2.1,"")</f>
        <v>630</v>
      </c>
      <c r="BE222" s="34"/>
      <c r="BF222" s="35"/>
    </row>
    <row r="223" spans="2:58" ht="14" customHeight="1" thickBot="1" x14ac:dyDescent="0.35">
      <c r="B223" s="758"/>
      <c r="C223" s="697"/>
      <c r="D223" s="450" t="s">
        <v>164</v>
      </c>
      <c r="E223" s="451" t="s">
        <v>198</v>
      </c>
      <c r="F223" s="452" t="s">
        <v>199</v>
      </c>
      <c r="G223" s="451" t="str">
        <f t="shared" si="214"/>
        <v>A</v>
      </c>
      <c r="H223" s="452" t="str">
        <f t="shared" si="212"/>
        <v>E</v>
      </c>
      <c r="I223" s="385">
        <f t="shared" ref="I223:J223" si="219">IF(ISNUMBER(I216),I216/MAX($K216:$BE216)*100*2.1,"")</f>
        <v>210</v>
      </c>
      <c r="J223" s="384">
        <f t="shared" si="219"/>
        <v>136.04347826086956</v>
      </c>
      <c r="K223" s="29"/>
      <c r="L223" s="43">
        <f>IF(ISNUMBER(L216),(400+L216/MAX($K216:$BE216)*200)*2.1,"")</f>
        <v>1260</v>
      </c>
      <c r="M223" s="37"/>
      <c r="N223" s="38"/>
      <c r="O223" s="44"/>
      <c r="P223" s="43" t="str">
        <f>IF(ISNUMBER(P216),(400+P216/MAX($K216:$BE216)*200)*2.1,"")</f>
        <v/>
      </c>
      <c r="Q223" s="37"/>
      <c r="R223" s="38"/>
      <c r="S223" s="44"/>
      <c r="T223" s="43" t="str">
        <f>IF(ISNUMBER(T216),(400+T216/MAX($K216:$BE216)*200)*2.1,"")</f>
        <v/>
      </c>
      <c r="U223" s="37"/>
      <c r="V223" s="38"/>
      <c r="W223" s="44"/>
      <c r="X223" s="43" t="str">
        <f>IF(ISNUMBER(X216),(400+X216/MAX($K216:$BE216)*200)*2.1,"")</f>
        <v/>
      </c>
      <c r="Y223" s="37"/>
      <c r="Z223" s="38"/>
      <c r="AA223" s="44"/>
      <c r="AB223" s="43">
        <f>IF(ISNUMBER(AB216),(400+AB216/MAX($K216:$BE216)*200)*2.1,"")</f>
        <v>1112.0869565217392</v>
      </c>
      <c r="AC223" s="37"/>
      <c r="AD223" s="38"/>
      <c r="AE223" s="44"/>
      <c r="AF223" s="43" t="str">
        <f>IF(ISNUMBER(AF216),(400+AF216/MAX($K216:$BE216)*200)*2.1,"")</f>
        <v/>
      </c>
      <c r="AG223" s="37"/>
      <c r="AH223" s="38"/>
      <c r="AI223" s="44"/>
      <c r="AJ223" s="43" t="str">
        <f>IF(ISNUMBER(AJ216),(400+AJ216/MAX($K216:$BE216)*200)*2.1,"")</f>
        <v/>
      </c>
      <c r="AK223" s="37"/>
      <c r="AL223" s="38"/>
      <c r="AM223" s="44"/>
      <c r="AN223" s="43" t="str">
        <f>IF(ISNUMBER(AN216),(400+AN216/MAX($K216:$BE216)*200)*2.1,"")</f>
        <v/>
      </c>
      <c r="AO223" s="37"/>
      <c r="AP223" s="38"/>
      <c r="AQ223" s="44"/>
      <c r="AR223" s="43" t="str">
        <f>IF(ISNUMBER(AR216),(400+AR216/MAX($K216:$BE216)*200)*2.1,"")</f>
        <v/>
      </c>
      <c r="AS223" s="37"/>
      <c r="AT223" s="38"/>
      <c r="AU223" s="328"/>
      <c r="AV223" s="329" t="str">
        <f>IF(ISNUMBER(AV216),(400+AV216/MAX($K216:$BE216)*200)*2.1,"")</f>
        <v/>
      </c>
      <c r="AW223" s="330"/>
      <c r="AX223" s="331"/>
      <c r="AY223" s="328"/>
      <c r="AZ223" s="329" t="str">
        <f>IF(ISNUMBER(AZ216),(400+AZ216/MAX($K216:$BE216)*200)*2.1,"")</f>
        <v/>
      </c>
      <c r="BA223" s="330"/>
      <c r="BB223" s="331"/>
      <c r="BC223" s="328"/>
      <c r="BD223" s="329" t="str">
        <f>IF(ISNUMBER(BD216),(400+BD216/MAX($K216:$BE216)*200)*2.1,"")</f>
        <v/>
      </c>
      <c r="BE223" s="330"/>
      <c r="BF223" s="331"/>
    </row>
    <row r="224" spans="2:58" ht="14" customHeight="1" x14ac:dyDescent="0.3">
      <c r="B224" s="758"/>
      <c r="C224" s="698" t="s">
        <v>154</v>
      </c>
      <c r="D224" s="283" t="s">
        <v>174</v>
      </c>
      <c r="E224" s="284" t="s">
        <v>200</v>
      </c>
      <c r="F224" s="285" t="s">
        <v>201</v>
      </c>
      <c r="G224" s="286" t="str">
        <f>VLOOKUP(E224,AD$188:AE$193,2,FALSE)</f>
        <v>I</v>
      </c>
      <c r="H224" s="287" t="str">
        <f>VLOOKUP(F224,AD$188:AE$193,2,FALSE)</f>
        <v>B</v>
      </c>
      <c r="I224" s="284">
        <v>10</v>
      </c>
      <c r="J224" s="285">
        <v>6</v>
      </c>
      <c r="K224" s="332"/>
      <c r="L224" s="333"/>
      <c r="M224" s="334" t="str">
        <f t="shared" ref="M224:M230" si="220">IF(ISNUMBER(FIND(K$13,$G224)),$I224,IF(ISNUMBER(FIND(K$13,$H224)),$J224,""))</f>
        <v/>
      </c>
      <c r="N224" s="335"/>
      <c r="O224" s="332"/>
      <c r="P224" s="333"/>
      <c r="Q224" s="334">
        <f t="shared" ref="Q224:Q230" si="221">IF(ISNUMBER(FIND(O$13,$G224)),$I224,IF(ISNUMBER(FIND(O$13,$H224)),$J224,""))</f>
        <v>6</v>
      </c>
      <c r="R224" s="335"/>
      <c r="S224" s="332"/>
      <c r="T224" s="333"/>
      <c r="U224" s="334" t="str">
        <f t="shared" ref="U224:U230" si="222">IF(ISNUMBER(FIND(S$13,$G224)),$I224,IF(ISNUMBER(FIND(S$13,$H224)),$J224,""))</f>
        <v/>
      </c>
      <c r="V224" s="335"/>
      <c r="W224" s="332"/>
      <c r="X224" s="333"/>
      <c r="Y224" s="334" t="str">
        <f t="shared" ref="Y224:Y230" si="223">IF(ISNUMBER(FIND(W$13,$G224)),$I224,IF(ISNUMBER(FIND(W$13,$H224)),$J224,""))</f>
        <v/>
      </c>
      <c r="Z224" s="335"/>
      <c r="AA224" s="332"/>
      <c r="AB224" s="333"/>
      <c r="AC224" s="334" t="str">
        <f t="shared" ref="AC224:AC230" si="224">IF(ISNUMBER(FIND(AA$13,$G224)),$I224,IF(ISNUMBER(FIND(AA$13,$H224)),$J224,""))</f>
        <v/>
      </c>
      <c r="AD224" s="335"/>
      <c r="AE224" s="332"/>
      <c r="AF224" s="333"/>
      <c r="AG224" s="334" t="str">
        <f t="shared" ref="AG224:AG230" si="225">IF(ISNUMBER(FIND(AE$13,$G224)),$I224,IF(ISNUMBER(FIND(AE$13,$H224)),$J224,""))</f>
        <v/>
      </c>
      <c r="AH224" s="335"/>
      <c r="AI224" s="332"/>
      <c r="AJ224" s="333"/>
      <c r="AK224" s="334" t="str">
        <f t="shared" ref="AK224:AK230" si="226">IF(ISNUMBER(FIND(AI$13,$G224)),$I224,IF(ISNUMBER(FIND(AI$13,$H224)),$J224,""))</f>
        <v/>
      </c>
      <c r="AL224" s="335"/>
      <c r="AM224" s="332"/>
      <c r="AN224" s="333"/>
      <c r="AO224" s="334" t="str">
        <f t="shared" ref="AO224:AO230" si="227">IF(ISNUMBER(FIND(AM$13,$G224)),$I224,IF(ISNUMBER(FIND(AM$13,$H224)),$J224,""))</f>
        <v/>
      </c>
      <c r="AP224" s="335"/>
      <c r="AQ224" s="332"/>
      <c r="AR224" s="333"/>
      <c r="AS224" s="334">
        <f t="shared" ref="AS224:AS230" si="228">IF(ISNUMBER(FIND(AQ$13,$G224)),$I224,IF(ISNUMBER(FIND(AQ$13,$H224)),$J224,""))</f>
        <v>10</v>
      </c>
      <c r="AT224" s="335"/>
      <c r="AU224" s="332"/>
      <c r="AV224" s="333"/>
      <c r="AW224" s="334" t="str">
        <f t="shared" ref="AW224:AW230" si="229">IF(ISNUMBER(FIND(AU$13,$G224)),$I224,IF(ISNUMBER(FIND(AU$13,$H224)),$J224,""))</f>
        <v/>
      </c>
      <c r="AX224" s="335"/>
      <c r="AY224" s="332"/>
      <c r="AZ224" s="333"/>
      <c r="BA224" s="334" t="str">
        <f t="shared" ref="BA224:BA230" si="230">IF(ISNUMBER(FIND(AY$13,$G224)),$I224,IF(ISNUMBER(FIND(AY$13,$H224)),$J224,""))</f>
        <v/>
      </c>
      <c r="BB224" s="335"/>
      <c r="BC224" s="332"/>
      <c r="BD224" s="333"/>
      <c r="BE224" s="334" t="str">
        <f t="shared" ref="BE224:BE230" si="231">IF(ISNUMBER(FIND(BC$13,$G224)),$I224,IF(ISNUMBER(FIND(BC$13,$H224)),$J224,""))</f>
        <v/>
      </c>
      <c r="BF224" s="335"/>
    </row>
    <row r="225" spans="2:58" ht="14" customHeight="1" x14ac:dyDescent="0.3">
      <c r="B225" s="758"/>
      <c r="C225" s="699"/>
      <c r="D225" s="288" t="s">
        <v>175</v>
      </c>
      <c r="E225" s="289" t="s">
        <v>202</v>
      </c>
      <c r="F225" s="290" t="s">
        <v>203</v>
      </c>
      <c r="G225" s="289" t="str">
        <f>VLOOKUP(E225,AD$188:AE$193,2,FALSE)</f>
        <v>H</v>
      </c>
      <c r="H225" s="290" t="str">
        <f>VLOOKUP(F225,AD$188:AE$193,2,FALSE)</f>
        <v>L</v>
      </c>
      <c r="I225" s="289">
        <v>8</v>
      </c>
      <c r="J225" s="290">
        <v>10</v>
      </c>
      <c r="K225" s="336"/>
      <c r="L225" s="337"/>
      <c r="M225" s="338" t="str">
        <f t="shared" si="220"/>
        <v/>
      </c>
      <c r="N225" s="339"/>
      <c r="O225" s="336"/>
      <c r="P225" s="337"/>
      <c r="Q225" s="338" t="str">
        <f t="shared" si="221"/>
        <v/>
      </c>
      <c r="R225" s="339"/>
      <c r="S225" s="336"/>
      <c r="T225" s="337"/>
      <c r="U225" s="338" t="str">
        <f t="shared" si="222"/>
        <v/>
      </c>
      <c r="V225" s="339"/>
      <c r="W225" s="336"/>
      <c r="X225" s="337"/>
      <c r="Y225" s="338" t="str">
        <f t="shared" si="223"/>
        <v/>
      </c>
      <c r="Z225" s="339"/>
      <c r="AA225" s="336"/>
      <c r="AB225" s="337"/>
      <c r="AC225" s="338" t="str">
        <f t="shared" si="224"/>
        <v/>
      </c>
      <c r="AD225" s="339"/>
      <c r="AE225" s="336"/>
      <c r="AF225" s="337"/>
      <c r="AG225" s="338" t="str">
        <f t="shared" si="225"/>
        <v/>
      </c>
      <c r="AH225" s="339"/>
      <c r="AI225" s="336"/>
      <c r="AJ225" s="337"/>
      <c r="AK225" s="338" t="str">
        <f t="shared" si="226"/>
        <v/>
      </c>
      <c r="AL225" s="339"/>
      <c r="AM225" s="336"/>
      <c r="AN225" s="337"/>
      <c r="AO225" s="338">
        <f t="shared" si="227"/>
        <v>8</v>
      </c>
      <c r="AP225" s="339"/>
      <c r="AQ225" s="336"/>
      <c r="AR225" s="337"/>
      <c r="AS225" s="338" t="str">
        <f t="shared" si="228"/>
        <v/>
      </c>
      <c r="AT225" s="339"/>
      <c r="AU225" s="336"/>
      <c r="AV225" s="337"/>
      <c r="AW225" s="338" t="str">
        <f t="shared" si="229"/>
        <v/>
      </c>
      <c r="AX225" s="339"/>
      <c r="AY225" s="336"/>
      <c r="AZ225" s="337"/>
      <c r="BA225" s="338" t="str">
        <f t="shared" si="230"/>
        <v/>
      </c>
      <c r="BB225" s="339"/>
      <c r="BC225" s="336"/>
      <c r="BD225" s="337"/>
      <c r="BE225" s="338">
        <f t="shared" si="231"/>
        <v>10</v>
      </c>
      <c r="BF225" s="339"/>
    </row>
    <row r="226" spans="2:58" ht="14" customHeight="1" x14ac:dyDescent="0.3">
      <c r="B226" s="758"/>
      <c r="C226" s="699"/>
      <c r="D226" s="291" t="s">
        <v>176</v>
      </c>
      <c r="E226" s="289" t="s">
        <v>204</v>
      </c>
      <c r="F226" s="290" t="s">
        <v>205</v>
      </c>
      <c r="G226" s="289" t="str">
        <f>IF(J224&lt;I224,H224,IF(J224&gt;I224,G224,""))</f>
        <v>B</v>
      </c>
      <c r="H226" s="290" t="str">
        <f>IF(I225&lt;J225,G225,IF(I225&gt;J225,H225,""))</f>
        <v>H</v>
      </c>
      <c r="I226" s="289">
        <v>10</v>
      </c>
      <c r="J226" s="290">
        <v>6</v>
      </c>
      <c r="K226" s="336"/>
      <c r="L226" s="337"/>
      <c r="M226" s="338" t="str">
        <f t="shared" si="220"/>
        <v/>
      </c>
      <c r="N226" s="339"/>
      <c r="O226" s="336"/>
      <c r="P226" s="337"/>
      <c r="Q226" s="338">
        <f t="shared" si="221"/>
        <v>10</v>
      </c>
      <c r="R226" s="339"/>
      <c r="S226" s="336"/>
      <c r="T226" s="337"/>
      <c r="U226" s="338" t="str">
        <f t="shared" si="222"/>
        <v/>
      </c>
      <c r="V226" s="339"/>
      <c r="W226" s="336"/>
      <c r="X226" s="337"/>
      <c r="Y226" s="338" t="str">
        <f t="shared" si="223"/>
        <v/>
      </c>
      <c r="Z226" s="339"/>
      <c r="AA226" s="336"/>
      <c r="AB226" s="337"/>
      <c r="AC226" s="338" t="str">
        <f t="shared" si="224"/>
        <v/>
      </c>
      <c r="AD226" s="339"/>
      <c r="AE226" s="336"/>
      <c r="AF226" s="337"/>
      <c r="AG226" s="338" t="str">
        <f t="shared" si="225"/>
        <v/>
      </c>
      <c r="AH226" s="339"/>
      <c r="AI226" s="336"/>
      <c r="AJ226" s="337"/>
      <c r="AK226" s="338" t="str">
        <f t="shared" si="226"/>
        <v/>
      </c>
      <c r="AL226" s="339"/>
      <c r="AM226" s="336"/>
      <c r="AN226" s="337"/>
      <c r="AO226" s="338">
        <f t="shared" si="227"/>
        <v>6</v>
      </c>
      <c r="AP226" s="339"/>
      <c r="AQ226" s="336"/>
      <c r="AR226" s="337"/>
      <c r="AS226" s="338" t="str">
        <f t="shared" si="228"/>
        <v/>
      </c>
      <c r="AT226" s="339"/>
      <c r="AU226" s="336"/>
      <c r="AV226" s="337"/>
      <c r="AW226" s="338" t="str">
        <f t="shared" si="229"/>
        <v/>
      </c>
      <c r="AX226" s="339"/>
      <c r="AY226" s="336"/>
      <c r="AZ226" s="337"/>
      <c r="BA226" s="338" t="str">
        <f t="shared" si="230"/>
        <v/>
      </c>
      <c r="BB226" s="339"/>
      <c r="BC226" s="336"/>
      <c r="BD226" s="337"/>
      <c r="BE226" s="338" t="str">
        <f t="shared" si="231"/>
        <v/>
      </c>
      <c r="BF226" s="339"/>
    </row>
    <row r="227" spans="2:58" ht="14" customHeight="1" x14ac:dyDescent="0.3">
      <c r="B227" s="758"/>
      <c r="C227" s="699"/>
      <c r="D227" s="291" t="s">
        <v>91</v>
      </c>
      <c r="E227" s="289" t="s">
        <v>206</v>
      </c>
      <c r="F227" s="290" t="s">
        <v>207</v>
      </c>
      <c r="G227" s="289" t="str">
        <f>VLOOKUP(E227,AD$188:AE$193,2,FALSE)</f>
        <v>E</v>
      </c>
      <c r="H227" s="290" t="str">
        <f>IF(I224&gt;J224,G224,IF(I224&lt;J224,H224,""))</f>
        <v>I</v>
      </c>
      <c r="I227" s="289">
        <v>15</v>
      </c>
      <c r="J227" s="290">
        <v>4</v>
      </c>
      <c r="K227" s="336"/>
      <c r="L227" s="337"/>
      <c r="M227" s="338" t="str">
        <f t="shared" si="220"/>
        <v/>
      </c>
      <c r="N227" s="340"/>
      <c r="O227" s="336"/>
      <c r="P227" s="337"/>
      <c r="Q227" s="338" t="str">
        <f t="shared" si="221"/>
        <v/>
      </c>
      <c r="R227" s="340"/>
      <c r="S227" s="336"/>
      <c r="T227" s="337"/>
      <c r="U227" s="338" t="str">
        <f t="shared" si="222"/>
        <v/>
      </c>
      <c r="V227" s="340"/>
      <c r="W227" s="336"/>
      <c r="X227" s="337"/>
      <c r="Y227" s="338" t="str">
        <f t="shared" si="223"/>
        <v/>
      </c>
      <c r="Z227" s="340"/>
      <c r="AA227" s="336"/>
      <c r="AB227" s="337"/>
      <c r="AC227" s="338">
        <f t="shared" si="224"/>
        <v>15</v>
      </c>
      <c r="AD227" s="340"/>
      <c r="AE227" s="336"/>
      <c r="AF227" s="337"/>
      <c r="AG227" s="338" t="str">
        <f t="shared" si="225"/>
        <v/>
      </c>
      <c r="AH227" s="340"/>
      <c r="AI227" s="336"/>
      <c r="AJ227" s="337"/>
      <c r="AK227" s="338" t="str">
        <f t="shared" si="226"/>
        <v/>
      </c>
      <c r="AL227" s="340"/>
      <c r="AM227" s="336"/>
      <c r="AN227" s="337"/>
      <c r="AO227" s="338" t="str">
        <f t="shared" si="227"/>
        <v/>
      </c>
      <c r="AP227" s="340"/>
      <c r="AQ227" s="336"/>
      <c r="AR227" s="337"/>
      <c r="AS227" s="338">
        <f t="shared" si="228"/>
        <v>4</v>
      </c>
      <c r="AT227" s="340"/>
      <c r="AU227" s="336"/>
      <c r="AV227" s="337"/>
      <c r="AW227" s="338" t="str">
        <f t="shared" si="229"/>
        <v/>
      </c>
      <c r="AX227" s="340"/>
      <c r="AY227" s="336"/>
      <c r="AZ227" s="337"/>
      <c r="BA227" s="338" t="str">
        <f t="shared" si="230"/>
        <v/>
      </c>
      <c r="BB227" s="340"/>
      <c r="BC227" s="336"/>
      <c r="BD227" s="337"/>
      <c r="BE227" s="338" t="str">
        <f t="shared" si="231"/>
        <v/>
      </c>
      <c r="BF227" s="340"/>
    </row>
    <row r="228" spans="2:58" ht="14" customHeight="1" x14ac:dyDescent="0.3">
      <c r="B228" s="758"/>
      <c r="C228" s="699"/>
      <c r="D228" s="291" t="s">
        <v>94</v>
      </c>
      <c r="E228" s="289" t="s">
        <v>208</v>
      </c>
      <c r="F228" s="290" t="s">
        <v>209</v>
      </c>
      <c r="G228" s="289" t="str">
        <f>VLOOKUP(E228,AD$188:AE$193,2,FALSE)</f>
        <v>D</v>
      </c>
      <c r="H228" s="290" t="str">
        <f>IF(I225&gt;J225,G225,IF(I225&lt;J225,H225,""))</f>
        <v>L</v>
      </c>
      <c r="I228" s="289">
        <v>3</v>
      </c>
      <c r="J228" s="290">
        <v>15</v>
      </c>
      <c r="K228" s="341"/>
      <c r="L228" s="342"/>
      <c r="M228" s="343" t="str">
        <f t="shared" si="220"/>
        <v/>
      </c>
      <c r="N228" s="339"/>
      <c r="O228" s="341"/>
      <c r="P228" s="342"/>
      <c r="Q228" s="343" t="str">
        <f t="shared" si="221"/>
        <v/>
      </c>
      <c r="R228" s="339"/>
      <c r="S228" s="341"/>
      <c r="T228" s="342"/>
      <c r="U228" s="343" t="str">
        <f t="shared" si="222"/>
        <v/>
      </c>
      <c r="V228" s="339"/>
      <c r="W228" s="341"/>
      <c r="X228" s="342"/>
      <c r="Y228" s="343">
        <f t="shared" si="223"/>
        <v>3</v>
      </c>
      <c r="Z228" s="339"/>
      <c r="AA228" s="341"/>
      <c r="AB228" s="342"/>
      <c r="AC228" s="343" t="str">
        <f t="shared" si="224"/>
        <v/>
      </c>
      <c r="AD228" s="339"/>
      <c r="AE228" s="341"/>
      <c r="AF228" s="342"/>
      <c r="AG228" s="343" t="str">
        <f t="shared" si="225"/>
        <v/>
      </c>
      <c r="AH228" s="339"/>
      <c r="AI228" s="341"/>
      <c r="AJ228" s="342"/>
      <c r="AK228" s="343" t="str">
        <f t="shared" si="226"/>
        <v/>
      </c>
      <c r="AL228" s="339"/>
      <c r="AM228" s="341"/>
      <c r="AN228" s="342"/>
      <c r="AO228" s="343" t="str">
        <f t="shared" si="227"/>
        <v/>
      </c>
      <c r="AP228" s="339"/>
      <c r="AQ228" s="341"/>
      <c r="AR228" s="342"/>
      <c r="AS228" s="343" t="str">
        <f t="shared" si="228"/>
        <v/>
      </c>
      <c r="AT228" s="339"/>
      <c r="AU228" s="341"/>
      <c r="AV228" s="342"/>
      <c r="AW228" s="343" t="str">
        <f t="shared" si="229"/>
        <v/>
      </c>
      <c r="AX228" s="339"/>
      <c r="AY228" s="341"/>
      <c r="AZ228" s="342"/>
      <c r="BA228" s="343" t="str">
        <f t="shared" si="230"/>
        <v/>
      </c>
      <c r="BB228" s="339"/>
      <c r="BC228" s="341"/>
      <c r="BD228" s="342"/>
      <c r="BE228" s="343">
        <f t="shared" si="231"/>
        <v>15</v>
      </c>
      <c r="BF228" s="339"/>
    </row>
    <row r="229" spans="2:58" ht="14" customHeight="1" x14ac:dyDescent="0.3">
      <c r="B229" s="758"/>
      <c r="C229" s="699"/>
      <c r="D229" s="291" t="s">
        <v>163</v>
      </c>
      <c r="E229" s="289" t="s">
        <v>210</v>
      </c>
      <c r="F229" s="290" t="s">
        <v>211</v>
      </c>
      <c r="G229" s="289" t="str">
        <f>IF(I227&lt;J227,G227,H227)</f>
        <v>I</v>
      </c>
      <c r="H229" s="290" t="str">
        <f>IF(I228&lt;J228,G228,H228)</f>
        <v>D</v>
      </c>
      <c r="I229" s="289">
        <v>15</v>
      </c>
      <c r="J229" s="290">
        <v>13</v>
      </c>
      <c r="K229" s="341"/>
      <c r="L229" s="342"/>
      <c r="M229" s="343" t="str">
        <f t="shared" si="220"/>
        <v/>
      </c>
      <c r="N229" s="340"/>
      <c r="O229" s="341"/>
      <c r="P229" s="342"/>
      <c r="Q229" s="343" t="str">
        <f t="shared" si="221"/>
        <v/>
      </c>
      <c r="R229" s="340"/>
      <c r="S229" s="341"/>
      <c r="T229" s="342"/>
      <c r="U229" s="343" t="str">
        <f t="shared" si="222"/>
        <v/>
      </c>
      <c r="V229" s="340"/>
      <c r="W229" s="341"/>
      <c r="X229" s="342"/>
      <c r="Y229" s="343">
        <f t="shared" si="223"/>
        <v>13</v>
      </c>
      <c r="Z229" s="340"/>
      <c r="AA229" s="341"/>
      <c r="AB229" s="342"/>
      <c r="AC229" s="343" t="str">
        <f t="shared" si="224"/>
        <v/>
      </c>
      <c r="AD229" s="340"/>
      <c r="AE229" s="341"/>
      <c r="AF229" s="342"/>
      <c r="AG229" s="343" t="str">
        <f t="shared" si="225"/>
        <v/>
      </c>
      <c r="AH229" s="340"/>
      <c r="AI229" s="341"/>
      <c r="AJ229" s="342"/>
      <c r="AK229" s="343" t="str">
        <f t="shared" si="226"/>
        <v/>
      </c>
      <c r="AL229" s="340"/>
      <c r="AM229" s="341"/>
      <c r="AN229" s="342"/>
      <c r="AO229" s="343" t="str">
        <f t="shared" si="227"/>
        <v/>
      </c>
      <c r="AP229" s="340"/>
      <c r="AQ229" s="341"/>
      <c r="AR229" s="342"/>
      <c r="AS229" s="343">
        <f t="shared" si="228"/>
        <v>15</v>
      </c>
      <c r="AT229" s="340"/>
      <c r="AU229" s="341"/>
      <c r="AV229" s="342"/>
      <c r="AW229" s="343" t="str">
        <f t="shared" si="229"/>
        <v/>
      </c>
      <c r="AX229" s="340"/>
      <c r="AY229" s="341"/>
      <c r="AZ229" s="342"/>
      <c r="BA229" s="343" t="str">
        <f t="shared" si="230"/>
        <v/>
      </c>
      <c r="BB229" s="340"/>
      <c r="BC229" s="341"/>
      <c r="BD229" s="342"/>
      <c r="BE229" s="343" t="str">
        <f t="shared" si="231"/>
        <v/>
      </c>
      <c r="BF229" s="340"/>
    </row>
    <row r="230" spans="2:58" ht="14" customHeight="1" thickBot="1" x14ac:dyDescent="0.35">
      <c r="B230" s="758"/>
      <c r="C230" s="700"/>
      <c r="D230" s="292" t="s">
        <v>164</v>
      </c>
      <c r="E230" s="293" t="s">
        <v>212</v>
      </c>
      <c r="F230" s="294" t="s">
        <v>213</v>
      </c>
      <c r="G230" s="293" t="str">
        <f>IF(I227&gt;J227,G227,H227)</f>
        <v>E</v>
      </c>
      <c r="H230" s="294" t="str">
        <f>IF(I228&gt;J228,G228,H228)</f>
        <v>L</v>
      </c>
      <c r="I230" s="289">
        <v>20</v>
      </c>
      <c r="J230" s="294">
        <v>9</v>
      </c>
      <c r="K230" s="344"/>
      <c r="L230" s="345"/>
      <c r="M230" s="346" t="str">
        <f t="shared" si="220"/>
        <v/>
      </c>
      <c r="N230" s="347"/>
      <c r="O230" s="344"/>
      <c r="P230" s="345"/>
      <c r="Q230" s="346" t="str">
        <f t="shared" si="221"/>
        <v/>
      </c>
      <c r="R230" s="347"/>
      <c r="S230" s="344"/>
      <c r="T230" s="345"/>
      <c r="U230" s="346" t="str">
        <f t="shared" si="222"/>
        <v/>
      </c>
      <c r="V230" s="347"/>
      <c r="W230" s="344"/>
      <c r="X230" s="345"/>
      <c r="Y230" s="346" t="str">
        <f t="shared" si="223"/>
        <v/>
      </c>
      <c r="Z230" s="347"/>
      <c r="AA230" s="344"/>
      <c r="AB230" s="345"/>
      <c r="AC230" s="346">
        <f t="shared" si="224"/>
        <v>20</v>
      </c>
      <c r="AD230" s="347"/>
      <c r="AE230" s="344"/>
      <c r="AF230" s="345"/>
      <c r="AG230" s="346" t="str">
        <f t="shared" si="225"/>
        <v/>
      </c>
      <c r="AH230" s="347"/>
      <c r="AI230" s="344"/>
      <c r="AJ230" s="345"/>
      <c r="AK230" s="346" t="str">
        <f t="shared" si="226"/>
        <v/>
      </c>
      <c r="AL230" s="347"/>
      <c r="AM230" s="344"/>
      <c r="AN230" s="345"/>
      <c r="AO230" s="346" t="str">
        <f t="shared" si="227"/>
        <v/>
      </c>
      <c r="AP230" s="347"/>
      <c r="AQ230" s="344"/>
      <c r="AR230" s="345"/>
      <c r="AS230" s="346" t="str">
        <f t="shared" si="228"/>
        <v/>
      </c>
      <c r="AT230" s="347"/>
      <c r="AU230" s="344"/>
      <c r="AV230" s="345"/>
      <c r="AW230" s="346" t="str">
        <f t="shared" si="229"/>
        <v/>
      </c>
      <c r="AX230" s="347"/>
      <c r="AY230" s="344"/>
      <c r="AZ230" s="345"/>
      <c r="BA230" s="346" t="str">
        <f t="shared" si="230"/>
        <v/>
      </c>
      <c r="BB230" s="347"/>
      <c r="BC230" s="344"/>
      <c r="BD230" s="345"/>
      <c r="BE230" s="346">
        <f t="shared" si="231"/>
        <v>9</v>
      </c>
      <c r="BF230" s="347"/>
    </row>
    <row r="231" spans="2:58" ht="14" customHeight="1" x14ac:dyDescent="0.3">
      <c r="B231" s="758"/>
      <c r="C231" s="698" t="s">
        <v>227</v>
      </c>
      <c r="D231" s="283" t="s">
        <v>174</v>
      </c>
      <c r="E231" s="284" t="s">
        <v>200</v>
      </c>
      <c r="F231" s="285" t="s">
        <v>201</v>
      </c>
      <c r="G231" s="286" t="str">
        <f>G224</f>
        <v>I</v>
      </c>
      <c r="H231" s="287" t="str">
        <f t="shared" ref="H231:I237" si="232">H224</f>
        <v>B</v>
      </c>
      <c r="I231" s="92">
        <f>I224</f>
        <v>10</v>
      </c>
      <c r="J231" s="88">
        <f t="shared" ref="J231:J237" si="233">J224</f>
        <v>6</v>
      </c>
      <c r="K231" s="332"/>
      <c r="L231" s="333"/>
      <c r="M231" s="333"/>
      <c r="N231" s="335"/>
      <c r="O231" s="332"/>
      <c r="P231" s="333"/>
      <c r="Q231" s="333"/>
      <c r="R231" s="335"/>
      <c r="S231" s="332"/>
      <c r="T231" s="333"/>
      <c r="U231" s="333"/>
      <c r="V231" s="335"/>
      <c r="W231" s="332"/>
      <c r="X231" s="333"/>
      <c r="Y231" s="333"/>
      <c r="Z231" s="335"/>
      <c r="AA231" s="332"/>
      <c r="AB231" s="333"/>
      <c r="AC231" s="333"/>
      <c r="AD231" s="335"/>
      <c r="AE231" s="332"/>
      <c r="AF231" s="333"/>
      <c r="AG231" s="333"/>
      <c r="AH231" s="335"/>
      <c r="AI231" s="332"/>
      <c r="AJ231" s="333"/>
      <c r="AK231" s="333"/>
      <c r="AL231" s="335"/>
      <c r="AM231" s="332"/>
      <c r="AN231" s="333"/>
      <c r="AO231" s="333"/>
      <c r="AP231" s="335"/>
      <c r="AQ231" s="332"/>
      <c r="AR231" s="333"/>
      <c r="AS231" s="333"/>
      <c r="AT231" s="335"/>
      <c r="AU231" s="332"/>
      <c r="AV231" s="333"/>
      <c r="AW231" s="333"/>
      <c r="AX231" s="335"/>
      <c r="AY231" s="332"/>
      <c r="AZ231" s="333"/>
      <c r="BA231" s="333"/>
      <c r="BB231" s="335"/>
      <c r="BC231" s="332"/>
      <c r="BD231" s="333"/>
      <c r="BE231" s="333"/>
      <c r="BF231" s="335"/>
    </row>
    <row r="232" spans="2:58" ht="14" customHeight="1" x14ac:dyDescent="0.3">
      <c r="B232" s="758"/>
      <c r="C232" s="699"/>
      <c r="D232" s="288" t="s">
        <v>175</v>
      </c>
      <c r="E232" s="289" t="s">
        <v>202</v>
      </c>
      <c r="F232" s="290" t="s">
        <v>203</v>
      </c>
      <c r="G232" s="289" t="str">
        <f t="shared" ref="G232:G237" si="234">G225</f>
        <v>H</v>
      </c>
      <c r="H232" s="290" t="str">
        <f t="shared" si="232"/>
        <v>L</v>
      </c>
      <c r="I232" s="92">
        <f t="shared" si="232"/>
        <v>8</v>
      </c>
      <c r="J232" s="88">
        <f t="shared" si="233"/>
        <v>10</v>
      </c>
      <c r="K232" s="336"/>
      <c r="L232" s="337"/>
      <c r="M232" s="337"/>
      <c r="N232" s="339"/>
      <c r="O232" s="336"/>
      <c r="P232" s="337"/>
      <c r="Q232" s="337"/>
      <c r="R232" s="339"/>
      <c r="S232" s="336"/>
      <c r="T232" s="337"/>
      <c r="U232" s="337"/>
      <c r="V232" s="339"/>
      <c r="W232" s="336"/>
      <c r="X232" s="337"/>
      <c r="Y232" s="337"/>
      <c r="Z232" s="339"/>
      <c r="AA232" s="336"/>
      <c r="AB232" s="337"/>
      <c r="AC232" s="337"/>
      <c r="AD232" s="339"/>
      <c r="AE232" s="336"/>
      <c r="AF232" s="337"/>
      <c r="AG232" s="337"/>
      <c r="AH232" s="339"/>
      <c r="AI232" s="336"/>
      <c r="AJ232" s="337"/>
      <c r="AK232" s="337"/>
      <c r="AL232" s="339"/>
      <c r="AM232" s="336"/>
      <c r="AN232" s="337"/>
      <c r="AO232" s="337"/>
      <c r="AP232" s="339"/>
      <c r="AQ232" s="336"/>
      <c r="AR232" s="337"/>
      <c r="AS232" s="337"/>
      <c r="AT232" s="339"/>
      <c r="AU232" s="336"/>
      <c r="AV232" s="337"/>
      <c r="AW232" s="337"/>
      <c r="AX232" s="339"/>
      <c r="AY232" s="336"/>
      <c r="AZ232" s="337"/>
      <c r="BA232" s="337"/>
      <c r="BB232" s="339"/>
      <c r="BC232" s="336"/>
      <c r="BD232" s="337"/>
      <c r="BE232" s="337"/>
      <c r="BF232" s="339"/>
    </row>
    <row r="233" spans="2:58" ht="14" customHeight="1" x14ac:dyDescent="0.3">
      <c r="B233" s="758"/>
      <c r="C233" s="699"/>
      <c r="D233" s="291" t="s">
        <v>176</v>
      </c>
      <c r="E233" s="289" t="s">
        <v>204</v>
      </c>
      <c r="F233" s="290" t="s">
        <v>205</v>
      </c>
      <c r="G233" s="289" t="str">
        <f t="shared" si="234"/>
        <v>B</v>
      </c>
      <c r="H233" s="290" t="str">
        <f t="shared" si="232"/>
        <v>H</v>
      </c>
      <c r="I233" s="92">
        <f t="shared" si="232"/>
        <v>10</v>
      </c>
      <c r="J233" s="88">
        <f t="shared" si="233"/>
        <v>6</v>
      </c>
      <c r="K233" s="336"/>
      <c r="L233" s="337"/>
      <c r="M233" s="338" t="str">
        <f>IF(ISNUMBER(M226),M226*21,"")</f>
        <v/>
      </c>
      <c r="N233" s="339"/>
      <c r="O233" s="336"/>
      <c r="P233" s="337"/>
      <c r="Q233" s="338">
        <f>IF(ISNUMBER(Q226),Q226*21,"")</f>
        <v>210</v>
      </c>
      <c r="R233" s="339"/>
      <c r="S233" s="336"/>
      <c r="T233" s="337"/>
      <c r="U233" s="338" t="str">
        <f>IF(ISNUMBER(U226),U226*21,"")</f>
        <v/>
      </c>
      <c r="V233" s="339"/>
      <c r="W233" s="336"/>
      <c r="X233" s="337"/>
      <c r="Y233" s="338" t="str">
        <f>IF(ISNUMBER(Y226),Y226*21,"")</f>
        <v/>
      </c>
      <c r="Z233" s="339"/>
      <c r="AA233" s="336"/>
      <c r="AB233" s="337"/>
      <c r="AC233" s="338" t="str">
        <f>IF(ISNUMBER(AC226),AC226*21,"")</f>
        <v/>
      </c>
      <c r="AD233" s="339"/>
      <c r="AE233" s="336"/>
      <c r="AF233" s="337"/>
      <c r="AG233" s="338" t="str">
        <f>IF(ISNUMBER(AG226),AG226*21,"")</f>
        <v/>
      </c>
      <c r="AH233" s="339"/>
      <c r="AI233" s="336"/>
      <c r="AJ233" s="337"/>
      <c r="AK233" s="338" t="str">
        <f>IF(ISNUMBER(AK226),AK226*21,"")</f>
        <v/>
      </c>
      <c r="AL233" s="339"/>
      <c r="AM233" s="336"/>
      <c r="AN233" s="337"/>
      <c r="AO233" s="338">
        <f>IF(ISNUMBER(AO226),AO226*21,"")</f>
        <v>126</v>
      </c>
      <c r="AP233" s="339"/>
      <c r="AQ233" s="336"/>
      <c r="AR233" s="337"/>
      <c r="AS233" s="338" t="str">
        <f>IF(ISNUMBER(AS226),AS226*21,"")</f>
        <v/>
      </c>
      <c r="AT233" s="339"/>
      <c r="AU233" s="336"/>
      <c r="AV233" s="337"/>
      <c r="AW233" s="338" t="str">
        <f>IF(ISNUMBER(AW226),AW226*21,"")</f>
        <v/>
      </c>
      <c r="AX233" s="339"/>
      <c r="AY233" s="336"/>
      <c r="AZ233" s="337"/>
      <c r="BA233" s="338" t="str">
        <f>IF(ISNUMBER(BA226),BA226*21,"")</f>
        <v/>
      </c>
      <c r="BB233" s="339"/>
      <c r="BC233" s="336"/>
      <c r="BD233" s="337"/>
      <c r="BE233" s="338" t="str">
        <f>IF(ISNUMBER(BE226),BE226*21,"")</f>
        <v/>
      </c>
      <c r="BF233" s="339"/>
    </row>
    <row r="234" spans="2:58" ht="14" customHeight="1" x14ac:dyDescent="0.3">
      <c r="B234" s="758"/>
      <c r="C234" s="699"/>
      <c r="D234" s="291" t="s">
        <v>91</v>
      </c>
      <c r="E234" s="289" t="s">
        <v>206</v>
      </c>
      <c r="F234" s="290" t="s">
        <v>207</v>
      </c>
      <c r="G234" s="289" t="str">
        <f t="shared" si="234"/>
        <v>E</v>
      </c>
      <c r="H234" s="290" t="str">
        <f t="shared" si="232"/>
        <v>I</v>
      </c>
      <c r="I234" s="92">
        <f t="shared" si="232"/>
        <v>15</v>
      </c>
      <c r="J234" s="88">
        <f t="shared" si="233"/>
        <v>4</v>
      </c>
      <c r="K234" s="336"/>
      <c r="L234" s="337"/>
      <c r="M234" s="342"/>
      <c r="N234" s="340"/>
      <c r="O234" s="336"/>
      <c r="P234" s="337"/>
      <c r="Q234" s="342"/>
      <c r="R234" s="340"/>
      <c r="S234" s="336"/>
      <c r="T234" s="337"/>
      <c r="U234" s="342"/>
      <c r="V234" s="340"/>
      <c r="W234" s="336"/>
      <c r="X234" s="337"/>
      <c r="Y234" s="342"/>
      <c r="Z234" s="340"/>
      <c r="AA234" s="336"/>
      <c r="AB234" s="337"/>
      <c r="AC234" s="342"/>
      <c r="AD234" s="340"/>
      <c r="AE234" s="336"/>
      <c r="AF234" s="337"/>
      <c r="AG234" s="342"/>
      <c r="AH234" s="340"/>
      <c r="AI234" s="336"/>
      <c r="AJ234" s="337"/>
      <c r="AK234" s="342"/>
      <c r="AL234" s="340"/>
      <c r="AM234" s="336"/>
      <c r="AN234" s="337"/>
      <c r="AO234" s="342"/>
      <c r="AP234" s="340"/>
      <c r="AQ234" s="336"/>
      <c r="AR234" s="337"/>
      <c r="AS234" s="342"/>
      <c r="AT234" s="340"/>
      <c r="AU234" s="336"/>
      <c r="AV234" s="337"/>
      <c r="AW234" s="342"/>
      <c r="AX234" s="340"/>
      <c r="AY234" s="336"/>
      <c r="AZ234" s="337"/>
      <c r="BA234" s="342"/>
      <c r="BB234" s="340"/>
      <c r="BC234" s="336"/>
      <c r="BD234" s="337"/>
      <c r="BE234" s="342"/>
      <c r="BF234" s="340"/>
    </row>
    <row r="235" spans="2:58" ht="14" customHeight="1" x14ac:dyDescent="0.3">
      <c r="B235" s="758"/>
      <c r="C235" s="699"/>
      <c r="D235" s="291" t="s">
        <v>94</v>
      </c>
      <c r="E235" s="289" t="s">
        <v>208</v>
      </c>
      <c r="F235" s="290" t="s">
        <v>209</v>
      </c>
      <c r="G235" s="289" t="str">
        <f t="shared" si="234"/>
        <v>D</v>
      </c>
      <c r="H235" s="290" t="str">
        <f t="shared" si="232"/>
        <v>L</v>
      </c>
      <c r="I235" s="92">
        <f t="shared" si="232"/>
        <v>3</v>
      </c>
      <c r="J235" s="88">
        <f t="shared" si="233"/>
        <v>15</v>
      </c>
      <c r="K235" s="341"/>
      <c r="L235" s="342"/>
      <c r="M235" s="342"/>
      <c r="N235" s="339"/>
      <c r="O235" s="341"/>
      <c r="P235" s="342"/>
      <c r="Q235" s="342"/>
      <c r="R235" s="339"/>
      <c r="S235" s="341"/>
      <c r="T235" s="342"/>
      <c r="U235" s="342"/>
      <c r="V235" s="339"/>
      <c r="W235" s="341"/>
      <c r="X235" s="342"/>
      <c r="Y235" s="342"/>
      <c r="Z235" s="339"/>
      <c r="AA235" s="341"/>
      <c r="AB235" s="342"/>
      <c r="AC235" s="342"/>
      <c r="AD235" s="339"/>
      <c r="AE235" s="341"/>
      <c r="AF235" s="342"/>
      <c r="AG235" s="342"/>
      <c r="AH235" s="339"/>
      <c r="AI235" s="341"/>
      <c r="AJ235" s="342"/>
      <c r="AK235" s="342"/>
      <c r="AL235" s="339"/>
      <c r="AM235" s="341"/>
      <c r="AN235" s="342"/>
      <c r="AO235" s="342"/>
      <c r="AP235" s="339"/>
      <c r="AQ235" s="341"/>
      <c r="AR235" s="342"/>
      <c r="AS235" s="342"/>
      <c r="AT235" s="339"/>
      <c r="AU235" s="341"/>
      <c r="AV235" s="342"/>
      <c r="AW235" s="342"/>
      <c r="AX235" s="339"/>
      <c r="AY235" s="341"/>
      <c r="AZ235" s="342"/>
      <c r="BA235" s="342"/>
      <c r="BB235" s="339"/>
      <c r="BC235" s="341"/>
      <c r="BD235" s="342"/>
      <c r="BE235" s="342"/>
      <c r="BF235" s="339"/>
    </row>
    <row r="236" spans="2:58" ht="14" customHeight="1" x14ac:dyDescent="0.3">
      <c r="B236" s="758"/>
      <c r="C236" s="699"/>
      <c r="D236" s="291" t="s">
        <v>163</v>
      </c>
      <c r="E236" s="289" t="s">
        <v>210</v>
      </c>
      <c r="F236" s="290" t="s">
        <v>211</v>
      </c>
      <c r="G236" s="289" t="str">
        <f t="shared" si="234"/>
        <v>I</v>
      </c>
      <c r="H236" s="290" t="str">
        <f t="shared" si="232"/>
        <v>D</v>
      </c>
      <c r="I236" s="92">
        <f t="shared" si="232"/>
        <v>15</v>
      </c>
      <c r="J236" s="88">
        <f t="shared" si="233"/>
        <v>13</v>
      </c>
      <c r="K236" s="341"/>
      <c r="L236" s="342"/>
      <c r="M236" s="343" t="str">
        <f>IF(ISNUMBER(M229),(15+M229)*21,"")</f>
        <v/>
      </c>
      <c r="N236" s="340"/>
      <c r="O236" s="341"/>
      <c r="P236" s="342"/>
      <c r="Q236" s="343" t="str">
        <f>IF(ISNUMBER(Q229),(15+Q229)*21,"")</f>
        <v/>
      </c>
      <c r="R236" s="340"/>
      <c r="S236" s="341"/>
      <c r="T236" s="342"/>
      <c r="U236" s="343" t="str">
        <f>IF(ISNUMBER(U229),(15+U229)*21,"")</f>
        <v/>
      </c>
      <c r="V236" s="340"/>
      <c r="W236" s="341"/>
      <c r="X236" s="342"/>
      <c r="Y236" s="343">
        <f>IF(ISNUMBER(Y229),(15+Y229)*21,"")</f>
        <v>588</v>
      </c>
      <c r="Z236" s="340"/>
      <c r="AA236" s="341"/>
      <c r="AB236" s="342"/>
      <c r="AC236" s="343" t="str">
        <f>IF(ISNUMBER(AC229),(15+AC229)*21,"")</f>
        <v/>
      </c>
      <c r="AD236" s="340"/>
      <c r="AE236" s="341"/>
      <c r="AF236" s="342"/>
      <c r="AG236" s="343" t="str">
        <f>IF(ISNUMBER(AG229),(15+AG229)*21,"")</f>
        <v/>
      </c>
      <c r="AH236" s="340"/>
      <c r="AI236" s="341"/>
      <c r="AJ236" s="342"/>
      <c r="AK236" s="343" t="str">
        <f>IF(ISNUMBER(AK229),(15+AK229)*21,"")</f>
        <v/>
      </c>
      <c r="AL236" s="340"/>
      <c r="AM236" s="341"/>
      <c r="AN236" s="342"/>
      <c r="AO236" s="343" t="str">
        <f>IF(ISNUMBER(AO229),(15+AO229)*21,"")</f>
        <v/>
      </c>
      <c r="AP236" s="340"/>
      <c r="AQ236" s="341"/>
      <c r="AR236" s="342"/>
      <c r="AS236" s="343">
        <f>IF(ISNUMBER(AS229),(15+AS229)*21,"")</f>
        <v>630</v>
      </c>
      <c r="AT236" s="340"/>
      <c r="AU236" s="341"/>
      <c r="AV236" s="342"/>
      <c r="AW236" s="343" t="str">
        <f>IF(ISNUMBER(AW229),(15+AW229)*21,"")</f>
        <v/>
      </c>
      <c r="AX236" s="340"/>
      <c r="AY236" s="341"/>
      <c r="AZ236" s="342"/>
      <c r="BA236" s="343" t="str">
        <f>IF(ISNUMBER(BA229),(15+BA229)*21,"")</f>
        <v/>
      </c>
      <c r="BB236" s="340"/>
      <c r="BC236" s="341"/>
      <c r="BD236" s="342"/>
      <c r="BE236" s="343" t="str">
        <f>IF(ISNUMBER(BE229),(15+BE229)*21,"")</f>
        <v/>
      </c>
      <c r="BF236" s="340"/>
    </row>
    <row r="237" spans="2:58" ht="14" customHeight="1" thickBot="1" x14ac:dyDescent="0.35">
      <c r="B237" s="758"/>
      <c r="C237" s="701"/>
      <c r="D237" s="292" t="s">
        <v>164</v>
      </c>
      <c r="E237" s="293" t="s">
        <v>212</v>
      </c>
      <c r="F237" s="294" t="s">
        <v>213</v>
      </c>
      <c r="G237" s="293" t="str">
        <f t="shared" si="234"/>
        <v>E</v>
      </c>
      <c r="H237" s="294" t="str">
        <f t="shared" si="232"/>
        <v>L</v>
      </c>
      <c r="I237" s="116">
        <f t="shared" si="232"/>
        <v>20</v>
      </c>
      <c r="J237" s="117">
        <f t="shared" si="233"/>
        <v>9</v>
      </c>
      <c r="K237" s="344"/>
      <c r="L237" s="345"/>
      <c r="M237" s="346" t="str">
        <f>IF(ISNUMBER(M230),(40+M230)*21,"")</f>
        <v/>
      </c>
      <c r="N237" s="347"/>
      <c r="O237" s="344"/>
      <c r="P237" s="345"/>
      <c r="Q237" s="346" t="str">
        <f>IF(ISNUMBER(Q230),(40+Q230)*21,"")</f>
        <v/>
      </c>
      <c r="R237" s="347"/>
      <c r="S237" s="344"/>
      <c r="T237" s="345"/>
      <c r="U237" s="346" t="str">
        <f>IF(ISNUMBER(U230),(40+U230)*21,"")</f>
        <v/>
      </c>
      <c r="V237" s="347"/>
      <c r="W237" s="344"/>
      <c r="X237" s="345"/>
      <c r="Y237" s="346" t="str">
        <f>IF(ISNUMBER(Y230),(40+Y230)*21,"")</f>
        <v/>
      </c>
      <c r="Z237" s="347"/>
      <c r="AA237" s="344"/>
      <c r="AB237" s="345"/>
      <c r="AC237" s="346">
        <f>IF(ISNUMBER(AC230),(40+AC230)*21,"")</f>
        <v>1260</v>
      </c>
      <c r="AD237" s="347"/>
      <c r="AE237" s="344"/>
      <c r="AF237" s="345"/>
      <c r="AG237" s="346" t="str">
        <f>IF(ISNUMBER(AG230),(40+AG230)*21,"")</f>
        <v/>
      </c>
      <c r="AH237" s="347"/>
      <c r="AI237" s="344"/>
      <c r="AJ237" s="345"/>
      <c r="AK237" s="346" t="str">
        <f>IF(ISNUMBER(AK230),(40+AK230)*21,"")</f>
        <v/>
      </c>
      <c r="AL237" s="347"/>
      <c r="AM237" s="344"/>
      <c r="AN237" s="345"/>
      <c r="AO237" s="346" t="str">
        <f>IF(ISNUMBER(AO230),(40+AO230)*21,"")</f>
        <v/>
      </c>
      <c r="AP237" s="347"/>
      <c r="AQ237" s="344"/>
      <c r="AR237" s="345"/>
      <c r="AS237" s="346" t="str">
        <f>IF(ISNUMBER(AS230),(40+AS230)*21,"")</f>
        <v/>
      </c>
      <c r="AT237" s="347"/>
      <c r="AU237" s="344"/>
      <c r="AV237" s="345"/>
      <c r="AW237" s="346" t="str">
        <f>IF(ISNUMBER(AW230),(40+AW230)*21,"")</f>
        <v/>
      </c>
      <c r="AX237" s="347"/>
      <c r="AY237" s="344"/>
      <c r="AZ237" s="345"/>
      <c r="BA237" s="346" t="str">
        <f>IF(ISNUMBER(BA230),(40+BA230)*21,"")</f>
        <v/>
      </c>
      <c r="BB237" s="347"/>
      <c r="BC237" s="344"/>
      <c r="BD237" s="345"/>
      <c r="BE237" s="346">
        <f>IF(ISNUMBER(BE230),(40+BE230)*21,"")</f>
        <v>1029</v>
      </c>
      <c r="BF237" s="347"/>
    </row>
    <row r="238" spans="2:58" ht="14" customHeight="1" x14ac:dyDescent="0.3">
      <c r="B238" s="758"/>
      <c r="C238" s="566" t="s">
        <v>243</v>
      </c>
      <c r="D238" s="295" t="s">
        <v>174</v>
      </c>
      <c r="E238" s="296" t="s">
        <v>292</v>
      </c>
      <c r="F238" s="297" t="s">
        <v>293</v>
      </c>
      <c r="G238" s="298" t="str">
        <f>VLOOKUP(E238,AM$188:AN$193,2,FALSE)</f>
        <v>E</v>
      </c>
      <c r="H238" s="299" t="str">
        <f>VLOOKUP(F238,AM$188:AN$193,2,FALSE)</f>
        <v>K</v>
      </c>
      <c r="I238" s="296">
        <v>50</v>
      </c>
      <c r="J238" s="348">
        <v>58</v>
      </c>
      <c r="K238" s="351"/>
      <c r="L238" s="352"/>
      <c r="M238" s="352"/>
      <c r="N238" s="369" t="str">
        <f>IF(ISNUMBER(FIND(K$13,$G238)),$I238,IF(ISNUMBER(FIND(K$13,$H238)),$J238,""))</f>
        <v/>
      </c>
      <c r="O238" s="351"/>
      <c r="P238" s="352"/>
      <c r="Q238" s="352"/>
      <c r="R238" s="369" t="str">
        <f>IF(ISNUMBER(FIND(O$13,$G238)),$I238,IF(ISNUMBER(FIND(O$13,$H238)),$J238,""))</f>
        <v/>
      </c>
      <c r="S238" s="351"/>
      <c r="T238" s="352"/>
      <c r="U238" s="352"/>
      <c r="V238" s="369" t="str">
        <f>IF(ISNUMBER(FIND(S$13,$G238)),$I238,IF(ISNUMBER(FIND(S$13,$H238)),$J238,""))</f>
        <v/>
      </c>
      <c r="W238" s="351"/>
      <c r="X238" s="352"/>
      <c r="Y238" s="352"/>
      <c r="Z238" s="369" t="str">
        <f>IF(ISNUMBER(FIND(W$13,$G238)),$I238,IF(ISNUMBER(FIND(W$13,$H238)),$J238,""))</f>
        <v/>
      </c>
      <c r="AA238" s="351"/>
      <c r="AB238" s="352"/>
      <c r="AC238" s="352"/>
      <c r="AD238" s="369">
        <f>IF(ISNUMBER(FIND(AA$13,$G238)),$I238,IF(ISNUMBER(FIND(AA$13,$H238)),$J238,""))</f>
        <v>50</v>
      </c>
      <c r="AE238" s="351"/>
      <c r="AF238" s="352"/>
      <c r="AG238" s="352"/>
      <c r="AH238" s="369" t="str">
        <f>IF(ISNUMBER(FIND(AE$13,$G238)),$I238,IF(ISNUMBER(FIND(AE$13,$H238)),$J238,""))</f>
        <v/>
      </c>
      <c r="AI238" s="351"/>
      <c r="AJ238" s="352"/>
      <c r="AK238" s="352"/>
      <c r="AL238" s="369" t="str">
        <f>IF(ISNUMBER(FIND(AI$13,$G238)),$I238,IF(ISNUMBER(FIND(AI$13,$H238)),$J238,""))</f>
        <v/>
      </c>
      <c r="AM238" s="351"/>
      <c r="AN238" s="352"/>
      <c r="AO238" s="352"/>
      <c r="AP238" s="369" t="str">
        <f>IF(ISNUMBER(FIND(AM$13,$G238)),$I238,IF(ISNUMBER(FIND(AM$13,$H238)),$J238,""))</f>
        <v/>
      </c>
      <c r="AQ238" s="351"/>
      <c r="AR238" s="352"/>
      <c r="AS238" s="352"/>
      <c r="AT238" s="369" t="str">
        <f>IF(ISNUMBER(FIND(AQ$13,$G238)),$I238,IF(ISNUMBER(FIND(AQ$13,$H238)),$J238,""))</f>
        <v/>
      </c>
      <c r="AU238" s="351"/>
      <c r="AV238" s="352"/>
      <c r="AW238" s="352"/>
      <c r="AX238" s="369" t="str">
        <f>IF(ISNUMBER(FIND(AU$13,$G238)),$I238,IF(ISNUMBER(FIND(AU$13,$H238)),$J238,""))</f>
        <v/>
      </c>
      <c r="AY238" s="351"/>
      <c r="AZ238" s="352"/>
      <c r="BA238" s="352"/>
      <c r="BB238" s="369">
        <f>IF(ISNUMBER(FIND(AY$13,$G238)),$I238,IF(ISNUMBER(FIND(AY$13,$H238)),$J238,""))</f>
        <v>58</v>
      </c>
      <c r="BC238" s="351"/>
      <c r="BD238" s="352"/>
      <c r="BE238" s="352"/>
      <c r="BF238" s="377" t="str">
        <f>IF(ISNUMBER(FIND(BC$13,$G238)),$I238,IF(ISNUMBER(FIND(BC$13,$H238)),$J238,""))</f>
        <v/>
      </c>
    </row>
    <row r="239" spans="2:58" ht="14" customHeight="1" x14ac:dyDescent="0.3">
      <c r="B239" s="758"/>
      <c r="C239" s="567"/>
      <c r="D239" s="300" t="s">
        <v>175</v>
      </c>
      <c r="E239" s="301" t="s">
        <v>291</v>
      </c>
      <c r="F239" s="302" t="s">
        <v>294</v>
      </c>
      <c r="G239" s="301" t="str">
        <f>VLOOKUP(E239,AM$188:AN$193,2,FALSE)</f>
        <v>I</v>
      </c>
      <c r="H239" s="302" t="str">
        <f>VLOOKUP(F239,AM$188:AN$193,2,FALSE)</f>
        <v>C</v>
      </c>
      <c r="I239" s="301">
        <v>58</v>
      </c>
      <c r="J239" s="349">
        <v>44</v>
      </c>
      <c r="K239" s="353"/>
      <c r="L239" s="354"/>
      <c r="M239" s="354"/>
      <c r="N239" s="370" t="str">
        <f t="shared" ref="N239:N244" si="235">IF(ISNUMBER(FIND(K$13,$G239)),$I239,IF(ISNUMBER(FIND(K$13,$H239)),$J239,""))</f>
        <v/>
      </c>
      <c r="O239" s="353"/>
      <c r="P239" s="354"/>
      <c r="Q239" s="354"/>
      <c r="R239" s="370" t="str">
        <f t="shared" ref="R239:R244" si="236">IF(ISNUMBER(FIND(O$13,$G239)),$I239,IF(ISNUMBER(FIND(O$13,$H239)),$J239,""))</f>
        <v/>
      </c>
      <c r="S239" s="353"/>
      <c r="T239" s="354"/>
      <c r="U239" s="354"/>
      <c r="V239" s="370">
        <f t="shared" ref="V239:V244" si="237">IF(ISNUMBER(FIND(S$13,$G239)),$I239,IF(ISNUMBER(FIND(S$13,$H239)),$J239,""))</f>
        <v>44</v>
      </c>
      <c r="W239" s="353"/>
      <c r="X239" s="354"/>
      <c r="Y239" s="354"/>
      <c r="Z239" s="370" t="str">
        <f t="shared" ref="Z239:Z244" si="238">IF(ISNUMBER(FIND(W$13,$G239)),$I239,IF(ISNUMBER(FIND(W$13,$H239)),$J239,""))</f>
        <v/>
      </c>
      <c r="AA239" s="353"/>
      <c r="AB239" s="354"/>
      <c r="AC239" s="354"/>
      <c r="AD239" s="370" t="str">
        <f t="shared" ref="AD239:AD244" si="239">IF(ISNUMBER(FIND(AA$13,$G239)),$I239,IF(ISNUMBER(FIND(AA$13,$H239)),$J239,""))</f>
        <v/>
      </c>
      <c r="AE239" s="353"/>
      <c r="AF239" s="354"/>
      <c r="AG239" s="354"/>
      <c r="AH239" s="370" t="str">
        <f t="shared" ref="AH239:AH244" si="240">IF(ISNUMBER(FIND(AE$13,$G239)),$I239,IF(ISNUMBER(FIND(AE$13,$H239)),$J239,""))</f>
        <v/>
      </c>
      <c r="AI239" s="353"/>
      <c r="AJ239" s="354"/>
      <c r="AK239" s="354"/>
      <c r="AL239" s="370" t="str">
        <f t="shared" ref="AL239:AL244" si="241">IF(ISNUMBER(FIND(AI$13,$G239)),$I239,IF(ISNUMBER(FIND(AI$13,$H239)),$J239,""))</f>
        <v/>
      </c>
      <c r="AM239" s="353"/>
      <c r="AN239" s="354"/>
      <c r="AO239" s="354"/>
      <c r="AP239" s="370" t="str">
        <f t="shared" ref="AP239:AP244" si="242">IF(ISNUMBER(FIND(AM$13,$G239)),$I239,IF(ISNUMBER(FIND(AM$13,$H239)),$J239,""))</f>
        <v/>
      </c>
      <c r="AQ239" s="353"/>
      <c r="AR239" s="354"/>
      <c r="AS239" s="354"/>
      <c r="AT239" s="370">
        <f t="shared" ref="AT239:AT244" si="243">IF(ISNUMBER(FIND(AQ$13,$G239)),$I239,IF(ISNUMBER(FIND(AQ$13,$H239)),$J239,""))</f>
        <v>58</v>
      </c>
      <c r="AU239" s="353"/>
      <c r="AV239" s="354"/>
      <c r="AW239" s="354"/>
      <c r="AX239" s="370" t="str">
        <f t="shared" ref="AX239:AX244" si="244">IF(ISNUMBER(FIND(AU$13,$G239)),$I239,IF(ISNUMBER(FIND(AU$13,$H239)),$J239,""))</f>
        <v/>
      </c>
      <c r="AY239" s="353"/>
      <c r="AZ239" s="354"/>
      <c r="BA239" s="354"/>
      <c r="BB239" s="370" t="str">
        <f t="shared" ref="BB239:BB244" si="245">IF(ISNUMBER(FIND(AY$13,$G239)),$I239,IF(ISNUMBER(FIND(AY$13,$H239)),$J239,""))</f>
        <v/>
      </c>
      <c r="BC239" s="353"/>
      <c r="BD239" s="354"/>
      <c r="BE239" s="354"/>
      <c r="BF239" s="378" t="str">
        <f t="shared" ref="BF239:BF244" si="246">IF(ISNUMBER(FIND(BC$13,$G239)),$I239,IF(ISNUMBER(FIND(BC$13,$H239)),$J239,""))</f>
        <v/>
      </c>
    </row>
    <row r="240" spans="2:58" ht="14" customHeight="1" x14ac:dyDescent="0.3">
      <c r="B240" s="758"/>
      <c r="C240" s="567"/>
      <c r="D240" s="303" t="s">
        <v>176</v>
      </c>
      <c r="E240" s="301" t="s">
        <v>304</v>
      </c>
      <c r="F240" s="302" t="s">
        <v>305</v>
      </c>
      <c r="G240" s="301" t="str">
        <f>IF(J238&lt;I238,H238,IF(J238&gt;I238,G238,""))</f>
        <v>E</v>
      </c>
      <c r="H240" s="302" t="str">
        <f>IF(I239&lt;J239,G239,IF(I239&gt;J239,H239,""))</f>
        <v>C</v>
      </c>
      <c r="I240" s="301">
        <v>49</v>
      </c>
      <c r="J240" s="349">
        <v>61</v>
      </c>
      <c r="K240" s="353"/>
      <c r="L240" s="354"/>
      <c r="M240" s="354"/>
      <c r="N240" s="370" t="str">
        <f t="shared" si="235"/>
        <v/>
      </c>
      <c r="O240" s="353"/>
      <c r="P240" s="354"/>
      <c r="Q240" s="354"/>
      <c r="R240" s="370" t="str">
        <f t="shared" si="236"/>
        <v/>
      </c>
      <c r="S240" s="353"/>
      <c r="T240" s="354"/>
      <c r="U240" s="354"/>
      <c r="V240" s="370">
        <f t="shared" si="237"/>
        <v>61</v>
      </c>
      <c r="W240" s="353"/>
      <c r="X240" s="354"/>
      <c r="Y240" s="354"/>
      <c r="Z240" s="370" t="str">
        <f t="shared" si="238"/>
        <v/>
      </c>
      <c r="AA240" s="353"/>
      <c r="AB240" s="354"/>
      <c r="AC240" s="354"/>
      <c r="AD240" s="370">
        <f t="shared" si="239"/>
        <v>49</v>
      </c>
      <c r="AE240" s="353"/>
      <c r="AF240" s="354"/>
      <c r="AG240" s="354"/>
      <c r="AH240" s="370" t="str">
        <f t="shared" si="240"/>
        <v/>
      </c>
      <c r="AI240" s="353"/>
      <c r="AJ240" s="354"/>
      <c r="AK240" s="354"/>
      <c r="AL240" s="370" t="str">
        <f t="shared" si="241"/>
        <v/>
      </c>
      <c r="AM240" s="353"/>
      <c r="AN240" s="354"/>
      <c r="AO240" s="354"/>
      <c r="AP240" s="370" t="str">
        <f t="shared" si="242"/>
        <v/>
      </c>
      <c r="AQ240" s="353"/>
      <c r="AR240" s="354"/>
      <c r="AS240" s="354"/>
      <c r="AT240" s="370" t="str">
        <f t="shared" si="243"/>
        <v/>
      </c>
      <c r="AU240" s="353"/>
      <c r="AV240" s="354"/>
      <c r="AW240" s="354"/>
      <c r="AX240" s="370" t="str">
        <f t="shared" si="244"/>
        <v/>
      </c>
      <c r="AY240" s="353"/>
      <c r="AZ240" s="354"/>
      <c r="BA240" s="354"/>
      <c r="BB240" s="370" t="str">
        <f t="shared" si="245"/>
        <v/>
      </c>
      <c r="BC240" s="353"/>
      <c r="BD240" s="354"/>
      <c r="BE240" s="354"/>
      <c r="BF240" s="378" t="str">
        <f t="shared" si="246"/>
        <v/>
      </c>
    </row>
    <row r="241" spans="2:58" ht="14" customHeight="1" x14ac:dyDescent="0.3">
      <c r="B241" s="758"/>
      <c r="C241" s="567"/>
      <c r="D241" s="303" t="s">
        <v>91</v>
      </c>
      <c r="E241" s="301" t="s">
        <v>289</v>
      </c>
      <c r="F241" s="302" t="s">
        <v>306</v>
      </c>
      <c r="G241" s="301" t="str">
        <f>VLOOKUP(E241,AM$188:AN$193,2,FALSE)</f>
        <v>D</v>
      </c>
      <c r="H241" s="302" t="str">
        <f>IF(I238&gt;J238,G238,IF(I238&lt;J238,H238,""))</f>
        <v>K</v>
      </c>
      <c r="I241" s="301">
        <v>81</v>
      </c>
      <c r="J241" s="349">
        <v>54</v>
      </c>
      <c r="K241" s="353"/>
      <c r="L241" s="354"/>
      <c r="M241" s="355"/>
      <c r="N241" s="370" t="str">
        <f t="shared" si="235"/>
        <v/>
      </c>
      <c r="O241" s="353"/>
      <c r="P241" s="354"/>
      <c r="Q241" s="355"/>
      <c r="R241" s="370" t="str">
        <f t="shared" si="236"/>
        <v/>
      </c>
      <c r="S241" s="353"/>
      <c r="T241" s="354"/>
      <c r="U241" s="355"/>
      <c r="V241" s="370" t="str">
        <f t="shared" si="237"/>
        <v/>
      </c>
      <c r="W241" s="353"/>
      <c r="X241" s="354"/>
      <c r="Y241" s="355"/>
      <c r="Z241" s="370">
        <f t="shared" si="238"/>
        <v>81</v>
      </c>
      <c r="AA241" s="353"/>
      <c r="AB241" s="354"/>
      <c r="AC241" s="355"/>
      <c r="AD241" s="370" t="str">
        <f t="shared" si="239"/>
        <v/>
      </c>
      <c r="AE241" s="353"/>
      <c r="AF241" s="354"/>
      <c r="AG241" s="355"/>
      <c r="AH241" s="370" t="str">
        <f t="shared" si="240"/>
        <v/>
      </c>
      <c r="AI241" s="353"/>
      <c r="AJ241" s="354"/>
      <c r="AK241" s="355"/>
      <c r="AL241" s="370" t="str">
        <f t="shared" si="241"/>
        <v/>
      </c>
      <c r="AM241" s="353"/>
      <c r="AN241" s="354"/>
      <c r="AO241" s="355"/>
      <c r="AP241" s="370" t="str">
        <f t="shared" si="242"/>
        <v/>
      </c>
      <c r="AQ241" s="353"/>
      <c r="AR241" s="354"/>
      <c r="AS241" s="355"/>
      <c r="AT241" s="370" t="str">
        <f t="shared" si="243"/>
        <v/>
      </c>
      <c r="AU241" s="353"/>
      <c r="AV241" s="354"/>
      <c r="AW241" s="355"/>
      <c r="AX241" s="370" t="str">
        <f t="shared" si="244"/>
        <v/>
      </c>
      <c r="AY241" s="353"/>
      <c r="AZ241" s="354"/>
      <c r="BA241" s="355"/>
      <c r="BB241" s="370">
        <f t="shared" si="245"/>
        <v>54</v>
      </c>
      <c r="BC241" s="353"/>
      <c r="BD241" s="354"/>
      <c r="BE241" s="355"/>
      <c r="BF241" s="378" t="str">
        <f t="shared" si="246"/>
        <v/>
      </c>
    </row>
    <row r="242" spans="2:58" ht="14" customHeight="1" x14ac:dyDescent="0.3">
      <c r="B242" s="758"/>
      <c r="C242" s="567"/>
      <c r="D242" s="303" t="s">
        <v>94</v>
      </c>
      <c r="E242" s="301" t="s">
        <v>290</v>
      </c>
      <c r="F242" s="302" t="s">
        <v>307</v>
      </c>
      <c r="G242" s="301" t="str">
        <f>VLOOKUP(E242,AM$188:AN$193,2,FALSE)</f>
        <v>A</v>
      </c>
      <c r="H242" s="302" t="str">
        <f>IF(I239&gt;J239,G239,IF(I239&lt;J239,H239,""))</f>
        <v>I</v>
      </c>
      <c r="I242" s="301">
        <v>66</v>
      </c>
      <c r="J242" s="349">
        <v>67</v>
      </c>
      <c r="K242" s="356"/>
      <c r="L242" s="355"/>
      <c r="M242" s="354"/>
      <c r="N242" s="371">
        <f t="shared" si="235"/>
        <v>66</v>
      </c>
      <c r="O242" s="356"/>
      <c r="P242" s="355"/>
      <c r="Q242" s="354"/>
      <c r="R242" s="371" t="str">
        <f t="shared" si="236"/>
        <v/>
      </c>
      <c r="S242" s="356"/>
      <c r="T242" s="355"/>
      <c r="U242" s="354"/>
      <c r="V242" s="371" t="str">
        <f t="shared" si="237"/>
        <v/>
      </c>
      <c r="W242" s="356"/>
      <c r="X242" s="355"/>
      <c r="Y242" s="354"/>
      <c r="Z242" s="371" t="str">
        <f t="shared" si="238"/>
        <v/>
      </c>
      <c r="AA242" s="356"/>
      <c r="AB242" s="355"/>
      <c r="AC242" s="354"/>
      <c r="AD242" s="371" t="str">
        <f t="shared" si="239"/>
        <v/>
      </c>
      <c r="AE242" s="356"/>
      <c r="AF242" s="355"/>
      <c r="AG242" s="354"/>
      <c r="AH242" s="371" t="str">
        <f t="shared" si="240"/>
        <v/>
      </c>
      <c r="AI242" s="356"/>
      <c r="AJ242" s="355"/>
      <c r="AK242" s="354"/>
      <c r="AL242" s="371" t="str">
        <f t="shared" si="241"/>
        <v/>
      </c>
      <c r="AM242" s="356"/>
      <c r="AN242" s="355"/>
      <c r="AO242" s="354"/>
      <c r="AP242" s="371" t="str">
        <f t="shared" si="242"/>
        <v/>
      </c>
      <c r="AQ242" s="356"/>
      <c r="AR242" s="355"/>
      <c r="AS242" s="354"/>
      <c r="AT242" s="371">
        <f t="shared" si="243"/>
        <v>67</v>
      </c>
      <c r="AU242" s="356"/>
      <c r="AV242" s="355"/>
      <c r="AW242" s="354"/>
      <c r="AX242" s="371" t="str">
        <f t="shared" si="244"/>
        <v/>
      </c>
      <c r="AY242" s="356"/>
      <c r="AZ242" s="355"/>
      <c r="BA242" s="354"/>
      <c r="BB242" s="371" t="str">
        <f t="shared" si="245"/>
        <v/>
      </c>
      <c r="BC242" s="356"/>
      <c r="BD242" s="355"/>
      <c r="BE242" s="354"/>
      <c r="BF242" s="379" t="str">
        <f t="shared" si="246"/>
        <v/>
      </c>
    </row>
    <row r="243" spans="2:58" ht="14" customHeight="1" x14ac:dyDescent="0.3">
      <c r="B243" s="758"/>
      <c r="C243" s="567"/>
      <c r="D243" s="303" t="s">
        <v>163</v>
      </c>
      <c r="E243" s="301" t="s">
        <v>308</v>
      </c>
      <c r="F243" s="302" t="s">
        <v>309</v>
      </c>
      <c r="G243" s="301" t="str">
        <f>IF(I241&lt;J241,G241,H241)</f>
        <v>K</v>
      </c>
      <c r="H243" s="302" t="str">
        <f>IF(I242&lt;J242,G242,H242)</f>
        <v>A</v>
      </c>
      <c r="I243" s="301">
        <v>44</v>
      </c>
      <c r="J243" s="349">
        <v>51</v>
      </c>
      <c r="K243" s="356"/>
      <c r="L243" s="355"/>
      <c r="M243" s="355"/>
      <c r="N243" s="371">
        <f t="shared" si="235"/>
        <v>51</v>
      </c>
      <c r="O243" s="356"/>
      <c r="P243" s="355"/>
      <c r="Q243" s="355"/>
      <c r="R243" s="371" t="str">
        <f t="shared" si="236"/>
        <v/>
      </c>
      <c r="S243" s="356"/>
      <c r="T243" s="355"/>
      <c r="U243" s="355"/>
      <c r="V243" s="371" t="str">
        <f t="shared" si="237"/>
        <v/>
      </c>
      <c r="W243" s="356"/>
      <c r="X243" s="355"/>
      <c r="Y243" s="355"/>
      <c r="Z243" s="371" t="str">
        <f t="shared" si="238"/>
        <v/>
      </c>
      <c r="AA243" s="356"/>
      <c r="AB243" s="355"/>
      <c r="AC243" s="355"/>
      <c r="AD243" s="371" t="str">
        <f t="shared" si="239"/>
        <v/>
      </c>
      <c r="AE243" s="356"/>
      <c r="AF243" s="355"/>
      <c r="AG243" s="355"/>
      <c r="AH243" s="371" t="str">
        <f t="shared" si="240"/>
        <v/>
      </c>
      <c r="AI243" s="356"/>
      <c r="AJ243" s="355"/>
      <c r="AK243" s="355"/>
      <c r="AL243" s="371" t="str">
        <f t="shared" si="241"/>
        <v/>
      </c>
      <c r="AM243" s="356"/>
      <c r="AN243" s="355"/>
      <c r="AO243" s="355"/>
      <c r="AP243" s="371" t="str">
        <f t="shared" si="242"/>
        <v/>
      </c>
      <c r="AQ243" s="356"/>
      <c r="AR243" s="355"/>
      <c r="AS243" s="355"/>
      <c r="AT243" s="371" t="str">
        <f t="shared" si="243"/>
        <v/>
      </c>
      <c r="AU243" s="356"/>
      <c r="AV243" s="355"/>
      <c r="AW243" s="355"/>
      <c r="AX243" s="371" t="str">
        <f t="shared" si="244"/>
        <v/>
      </c>
      <c r="AY243" s="356"/>
      <c r="AZ243" s="355"/>
      <c r="BA243" s="355"/>
      <c r="BB243" s="371">
        <f t="shared" si="245"/>
        <v>44</v>
      </c>
      <c r="BC243" s="356"/>
      <c r="BD243" s="355"/>
      <c r="BE243" s="355"/>
      <c r="BF243" s="379" t="str">
        <f t="shared" si="246"/>
        <v/>
      </c>
    </row>
    <row r="244" spans="2:58" ht="14" customHeight="1" thickBot="1" x14ac:dyDescent="0.35">
      <c r="B244" s="758"/>
      <c r="C244" s="568"/>
      <c r="D244" s="304" t="s">
        <v>164</v>
      </c>
      <c r="E244" s="305" t="s">
        <v>310</v>
      </c>
      <c r="F244" s="306" t="s">
        <v>311</v>
      </c>
      <c r="G244" s="305" t="str">
        <f>IF(I241&gt;J241,G241,H241)</f>
        <v>D</v>
      </c>
      <c r="H244" s="306" t="str">
        <f>IF(I242&gt;J242,G242,H242)</f>
        <v>I</v>
      </c>
      <c r="I244" s="305">
        <v>68</v>
      </c>
      <c r="J244" s="350">
        <v>63</v>
      </c>
      <c r="K244" s="357"/>
      <c r="L244" s="358"/>
      <c r="M244" s="359"/>
      <c r="N244" s="372" t="str">
        <f t="shared" si="235"/>
        <v/>
      </c>
      <c r="O244" s="357"/>
      <c r="P244" s="358"/>
      <c r="Q244" s="359"/>
      <c r="R244" s="372" t="str">
        <f t="shared" si="236"/>
        <v/>
      </c>
      <c r="S244" s="357"/>
      <c r="T244" s="358"/>
      <c r="U244" s="359"/>
      <c r="V244" s="372" t="str">
        <f t="shared" si="237"/>
        <v/>
      </c>
      <c r="W244" s="357"/>
      <c r="X244" s="358"/>
      <c r="Y244" s="359"/>
      <c r="Z244" s="372">
        <f t="shared" si="238"/>
        <v>68</v>
      </c>
      <c r="AA244" s="357"/>
      <c r="AB244" s="358"/>
      <c r="AC244" s="359"/>
      <c r="AD244" s="372" t="str">
        <f t="shared" si="239"/>
        <v/>
      </c>
      <c r="AE244" s="357"/>
      <c r="AF244" s="358"/>
      <c r="AG244" s="359"/>
      <c r="AH244" s="372" t="str">
        <f t="shared" si="240"/>
        <v/>
      </c>
      <c r="AI244" s="357"/>
      <c r="AJ244" s="358"/>
      <c r="AK244" s="359"/>
      <c r="AL244" s="372" t="str">
        <f t="shared" si="241"/>
        <v/>
      </c>
      <c r="AM244" s="357"/>
      <c r="AN244" s="358"/>
      <c r="AO244" s="359"/>
      <c r="AP244" s="372" t="str">
        <f t="shared" si="242"/>
        <v/>
      </c>
      <c r="AQ244" s="357"/>
      <c r="AR244" s="358"/>
      <c r="AS244" s="359"/>
      <c r="AT244" s="372">
        <f t="shared" si="243"/>
        <v>63</v>
      </c>
      <c r="AU244" s="357"/>
      <c r="AV244" s="358"/>
      <c r="AW244" s="359"/>
      <c r="AX244" s="372" t="str">
        <f t="shared" si="244"/>
        <v/>
      </c>
      <c r="AY244" s="357"/>
      <c r="AZ244" s="358"/>
      <c r="BA244" s="359"/>
      <c r="BB244" s="372" t="str">
        <f t="shared" si="245"/>
        <v/>
      </c>
      <c r="BC244" s="357"/>
      <c r="BD244" s="358"/>
      <c r="BE244" s="359"/>
      <c r="BF244" s="380" t="str">
        <f t="shared" si="246"/>
        <v/>
      </c>
    </row>
    <row r="245" spans="2:58" ht="14" customHeight="1" x14ac:dyDescent="0.3">
      <c r="B245" s="758"/>
      <c r="C245" s="566" t="s">
        <v>303</v>
      </c>
      <c r="D245" s="295" t="s">
        <v>174</v>
      </c>
      <c r="E245" s="296" t="s">
        <v>292</v>
      </c>
      <c r="F245" s="297" t="s">
        <v>293</v>
      </c>
      <c r="G245" s="298" t="str">
        <f>G238</f>
        <v>E</v>
      </c>
      <c r="H245" s="299" t="str">
        <f t="shared" ref="H245" si="247">H238</f>
        <v>K</v>
      </c>
      <c r="I245" s="201">
        <f>I238/MAX($I238:$J238)*20</f>
        <v>17.241379310344826</v>
      </c>
      <c r="J245" s="384">
        <f t="shared" ref="J245:J251" si="248">J238/MAX($I238:$J238)*20</f>
        <v>20</v>
      </c>
      <c r="K245" s="360"/>
      <c r="L245" s="361"/>
      <c r="M245" s="354"/>
      <c r="N245" s="373"/>
      <c r="O245" s="351"/>
      <c r="P245" s="352"/>
      <c r="Q245" s="354"/>
      <c r="R245" s="373"/>
      <c r="S245" s="351"/>
      <c r="T245" s="352"/>
      <c r="U245" s="354"/>
      <c r="V245" s="373"/>
      <c r="W245" s="351"/>
      <c r="X245" s="352"/>
      <c r="Y245" s="354"/>
      <c r="Z245" s="373"/>
      <c r="AA245" s="351"/>
      <c r="AB245" s="352"/>
      <c r="AC245" s="354"/>
      <c r="AD245" s="373"/>
      <c r="AE245" s="351"/>
      <c r="AF245" s="352"/>
      <c r="AG245" s="354"/>
      <c r="AH245" s="373"/>
      <c r="AI245" s="351"/>
      <c r="AJ245" s="352"/>
      <c r="AK245" s="354"/>
      <c r="AL245" s="373"/>
      <c r="AM245" s="351"/>
      <c r="AN245" s="352"/>
      <c r="AO245" s="354"/>
      <c r="AP245" s="373"/>
      <c r="AQ245" s="351"/>
      <c r="AR245" s="352"/>
      <c r="AS245" s="354"/>
      <c r="AT245" s="373"/>
      <c r="AU245" s="351"/>
      <c r="AV245" s="352"/>
      <c r="AW245" s="354"/>
      <c r="AX245" s="373"/>
      <c r="AY245" s="351"/>
      <c r="AZ245" s="352"/>
      <c r="BA245" s="354"/>
      <c r="BB245" s="373"/>
      <c r="BC245" s="351"/>
      <c r="BD245" s="352"/>
      <c r="BE245" s="354"/>
      <c r="BF245" s="381"/>
    </row>
    <row r="246" spans="2:58" ht="14" customHeight="1" x14ac:dyDescent="0.3">
      <c r="B246" s="758"/>
      <c r="C246" s="567"/>
      <c r="D246" s="300" t="s">
        <v>175</v>
      </c>
      <c r="E246" s="301" t="s">
        <v>291</v>
      </c>
      <c r="F246" s="302" t="s">
        <v>294</v>
      </c>
      <c r="G246" s="301" t="str">
        <f t="shared" ref="G246:H251" si="249">G239</f>
        <v>I</v>
      </c>
      <c r="H246" s="302" t="str">
        <f t="shared" si="249"/>
        <v>C</v>
      </c>
      <c r="I246" s="383">
        <f t="shared" ref="I246:I251" si="250">I239/MAX($I239:$J239)*20</f>
        <v>20</v>
      </c>
      <c r="J246" s="384">
        <f t="shared" si="248"/>
        <v>15.172413793103448</v>
      </c>
      <c r="K246" s="362"/>
      <c r="L246" s="363"/>
      <c r="M246" s="354"/>
      <c r="N246" s="373"/>
      <c r="O246" s="353"/>
      <c r="P246" s="354"/>
      <c r="Q246" s="354"/>
      <c r="R246" s="373"/>
      <c r="S246" s="353"/>
      <c r="T246" s="354"/>
      <c r="U246" s="354"/>
      <c r="V246" s="373"/>
      <c r="W246" s="353"/>
      <c r="X246" s="354"/>
      <c r="Y246" s="354"/>
      <c r="Z246" s="373"/>
      <c r="AA246" s="353"/>
      <c r="AB246" s="354"/>
      <c r="AC246" s="354"/>
      <c r="AD246" s="373"/>
      <c r="AE246" s="353"/>
      <c r="AF246" s="354"/>
      <c r="AG246" s="354"/>
      <c r="AH246" s="373"/>
      <c r="AI246" s="353"/>
      <c r="AJ246" s="354"/>
      <c r="AK246" s="354"/>
      <c r="AL246" s="373"/>
      <c r="AM246" s="353"/>
      <c r="AN246" s="354"/>
      <c r="AO246" s="354"/>
      <c r="AP246" s="373"/>
      <c r="AQ246" s="353"/>
      <c r="AR246" s="354"/>
      <c r="AS246" s="354"/>
      <c r="AT246" s="373"/>
      <c r="AU246" s="353"/>
      <c r="AV246" s="354"/>
      <c r="AW246" s="354"/>
      <c r="AX246" s="373"/>
      <c r="AY246" s="353"/>
      <c r="AZ246" s="354"/>
      <c r="BA246" s="354"/>
      <c r="BB246" s="373"/>
      <c r="BC246" s="353"/>
      <c r="BD246" s="354"/>
      <c r="BE246" s="354"/>
      <c r="BF246" s="381"/>
    </row>
    <row r="247" spans="2:58" ht="14" customHeight="1" x14ac:dyDescent="0.3">
      <c r="B247" s="758"/>
      <c r="C247" s="567"/>
      <c r="D247" s="303" t="s">
        <v>176</v>
      </c>
      <c r="E247" s="301" t="s">
        <v>304</v>
      </c>
      <c r="F247" s="302" t="s">
        <v>305</v>
      </c>
      <c r="G247" s="301" t="str">
        <f t="shared" si="249"/>
        <v>E</v>
      </c>
      <c r="H247" s="302" t="str">
        <f t="shared" si="249"/>
        <v>C</v>
      </c>
      <c r="I247" s="383">
        <f t="shared" si="250"/>
        <v>16.065573770491802</v>
      </c>
      <c r="J247" s="384">
        <f t="shared" si="248"/>
        <v>20</v>
      </c>
      <c r="K247" s="362"/>
      <c r="L247" s="363"/>
      <c r="M247" s="354"/>
      <c r="N247" s="370" t="str">
        <f>IF(ISNUMBER(N240),N240*21/MAX($I244:$J244)*20,"")</f>
        <v/>
      </c>
      <c r="O247" s="353"/>
      <c r="P247" s="354"/>
      <c r="Q247" s="354"/>
      <c r="R247" s="370" t="str">
        <f>IF(ISNUMBER(R240),R240*21/MAX($I244:$J244)*20,"")</f>
        <v/>
      </c>
      <c r="S247" s="353"/>
      <c r="T247" s="354"/>
      <c r="U247" s="354"/>
      <c r="V247" s="370">
        <f>IF(ISNUMBER(V240),V240*21/MAX($I244:$J244)*20,"")</f>
        <v>376.76470588235298</v>
      </c>
      <c r="W247" s="353"/>
      <c r="X247" s="354"/>
      <c r="Y247" s="354"/>
      <c r="Z247" s="370" t="str">
        <f>IF(ISNUMBER(Z240),Z240*21/MAX($I244:$J244)*20,"")</f>
        <v/>
      </c>
      <c r="AA247" s="353"/>
      <c r="AB247" s="354"/>
      <c r="AC247" s="354"/>
      <c r="AD247" s="370">
        <f>IF(ISNUMBER(AD240),AD240*21/MAX($I244:$J244)*20,"")</f>
        <v>302.64705882352939</v>
      </c>
      <c r="AE247" s="353"/>
      <c r="AF247" s="354"/>
      <c r="AG247" s="354"/>
      <c r="AH247" s="370" t="str">
        <f>IF(ISNUMBER(AH240),AH240*21/MAX($I244:$J244)*20,"")</f>
        <v/>
      </c>
      <c r="AI247" s="353"/>
      <c r="AJ247" s="354"/>
      <c r="AK247" s="354"/>
      <c r="AL247" s="370" t="str">
        <f>IF(ISNUMBER(AL240),AL240*21/MAX($I244:$J244)*20,"")</f>
        <v/>
      </c>
      <c r="AM247" s="353"/>
      <c r="AN247" s="354"/>
      <c r="AO247" s="354"/>
      <c r="AP247" s="370" t="str">
        <f>IF(ISNUMBER(AP240),AP240*21/MAX($I244:$J244)*20,"")</f>
        <v/>
      </c>
      <c r="AQ247" s="353"/>
      <c r="AR247" s="354"/>
      <c r="AS247" s="354"/>
      <c r="AT247" s="370" t="str">
        <f>IF(ISNUMBER(AT240),AT240*21/MAX($I244:$J244)*20,"")</f>
        <v/>
      </c>
      <c r="AU247" s="353"/>
      <c r="AV247" s="354"/>
      <c r="AW247" s="354"/>
      <c r="AX247" s="370" t="str">
        <f>IF(ISNUMBER(AX240),AX240*21/MAX($I244:$J244)*20,"")</f>
        <v/>
      </c>
      <c r="AY247" s="353"/>
      <c r="AZ247" s="354"/>
      <c r="BA247" s="354"/>
      <c r="BB247" s="370" t="str">
        <f>IF(ISNUMBER(BB240),BB240*21/MAX($I244:$J244)*20,"")</f>
        <v/>
      </c>
      <c r="BC247" s="353"/>
      <c r="BD247" s="354"/>
      <c r="BE247" s="354"/>
      <c r="BF247" s="370" t="str">
        <f>IF(ISNUMBER(BF240),BF240*21/MAX($I244:$J244)*20,"")</f>
        <v/>
      </c>
    </row>
    <row r="248" spans="2:58" ht="14" customHeight="1" x14ac:dyDescent="0.3">
      <c r="B248" s="758"/>
      <c r="C248" s="567"/>
      <c r="D248" s="303" t="s">
        <v>91</v>
      </c>
      <c r="E248" s="301" t="s">
        <v>289</v>
      </c>
      <c r="F248" s="302" t="s">
        <v>306</v>
      </c>
      <c r="G248" s="301" t="str">
        <f t="shared" si="249"/>
        <v>D</v>
      </c>
      <c r="H248" s="302" t="str">
        <f t="shared" si="249"/>
        <v>K</v>
      </c>
      <c r="I248" s="383">
        <f t="shared" si="250"/>
        <v>20</v>
      </c>
      <c r="J248" s="384">
        <f t="shared" si="248"/>
        <v>13.333333333333332</v>
      </c>
      <c r="K248" s="362"/>
      <c r="L248" s="363"/>
      <c r="M248" s="355"/>
      <c r="N248" s="373"/>
      <c r="O248" s="353"/>
      <c r="P248" s="354"/>
      <c r="Q248" s="355"/>
      <c r="R248" s="373"/>
      <c r="S248" s="353"/>
      <c r="T248" s="354"/>
      <c r="U248" s="355"/>
      <c r="V248" s="373"/>
      <c r="W248" s="353"/>
      <c r="X248" s="354"/>
      <c r="Y248" s="355"/>
      <c r="Z248" s="373"/>
      <c r="AA248" s="353"/>
      <c r="AB248" s="354"/>
      <c r="AC248" s="355"/>
      <c r="AD248" s="373"/>
      <c r="AE248" s="353"/>
      <c r="AF248" s="354"/>
      <c r="AG248" s="355"/>
      <c r="AH248" s="373"/>
      <c r="AI248" s="353"/>
      <c r="AJ248" s="354"/>
      <c r="AK248" s="355"/>
      <c r="AL248" s="373"/>
      <c r="AM248" s="353"/>
      <c r="AN248" s="354"/>
      <c r="AO248" s="355"/>
      <c r="AP248" s="373"/>
      <c r="AQ248" s="353"/>
      <c r="AR248" s="354"/>
      <c r="AS248" s="355"/>
      <c r="AT248" s="373"/>
      <c r="AU248" s="353"/>
      <c r="AV248" s="354"/>
      <c r="AW248" s="355"/>
      <c r="AX248" s="373"/>
      <c r="AY248" s="353"/>
      <c r="AZ248" s="354"/>
      <c r="BA248" s="355"/>
      <c r="BB248" s="373"/>
      <c r="BC248" s="353"/>
      <c r="BD248" s="354"/>
      <c r="BE248" s="355"/>
      <c r="BF248" s="381"/>
    </row>
    <row r="249" spans="2:58" ht="14" customHeight="1" x14ac:dyDescent="0.3">
      <c r="B249" s="758"/>
      <c r="C249" s="567"/>
      <c r="D249" s="303" t="s">
        <v>94</v>
      </c>
      <c r="E249" s="301" t="s">
        <v>290</v>
      </c>
      <c r="F249" s="302" t="s">
        <v>307</v>
      </c>
      <c r="G249" s="301" t="str">
        <f t="shared" si="249"/>
        <v>A</v>
      </c>
      <c r="H249" s="302" t="str">
        <f t="shared" si="249"/>
        <v>I</v>
      </c>
      <c r="I249" s="383">
        <f t="shared" si="250"/>
        <v>19.701492537313431</v>
      </c>
      <c r="J249" s="384">
        <f t="shared" si="248"/>
        <v>20</v>
      </c>
      <c r="K249" s="364"/>
      <c r="L249" s="365"/>
      <c r="M249" s="354"/>
      <c r="N249" s="374"/>
      <c r="O249" s="356"/>
      <c r="P249" s="355"/>
      <c r="Q249" s="354"/>
      <c r="R249" s="374"/>
      <c r="S249" s="356"/>
      <c r="T249" s="355"/>
      <c r="U249" s="354"/>
      <c r="V249" s="374"/>
      <c r="W249" s="356"/>
      <c r="X249" s="355"/>
      <c r="Y249" s="354"/>
      <c r="Z249" s="374"/>
      <c r="AA249" s="356"/>
      <c r="AB249" s="355"/>
      <c r="AC249" s="354"/>
      <c r="AD249" s="374"/>
      <c r="AE249" s="356"/>
      <c r="AF249" s="355"/>
      <c r="AG249" s="354"/>
      <c r="AH249" s="374"/>
      <c r="AI249" s="356"/>
      <c r="AJ249" s="355"/>
      <c r="AK249" s="354"/>
      <c r="AL249" s="374"/>
      <c r="AM249" s="356"/>
      <c r="AN249" s="355"/>
      <c r="AO249" s="354"/>
      <c r="AP249" s="374"/>
      <c r="AQ249" s="356"/>
      <c r="AR249" s="355"/>
      <c r="AS249" s="354"/>
      <c r="AT249" s="374"/>
      <c r="AU249" s="356"/>
      <c r="AV249" s="355"/>
      <c r="AW249" s="354"/>
      <c r="AX249" s="374"/>
      <c r="AY249" s="356"/>
      <c r="AZ249" s="355"/>
      <c r="BA249" s="354"/>
      <c r="BB249" s="374"/>
      <c r="BC249" s="356"/>
      <c r="BD249" s="355"/>
      <c r="BE249" s="354"/>
      <c r="BF249" s="382"/>
    </row>
    <row r="250" spans="2:58" ht="14" customHeight="1" x14ac:dyDescent="0.3">
      <c r="B250" s="758"/>
      <c r="C250" s="567"/>
      <c r="D250" s="303" t="s">
        <v>163</v>
      </c>
      <c r="E250" s="301" t="s">
        <v>308</v>
      </c>
      <c r="F250" s="302" t="s">
        <v>309</v>
      </c>
      <c r="G250" s="301" t="str">
        <f t="shared" si="249"/>
        <v>K</v>
      </c>
      <c r="H250" s="302" t="str">
        <f t="shared" si="249"/>
        <v>A</v>
      </c>
      <c r="I250" s="383">
        <f t="shared" si="250"/>
        <v>17.254901960784316</v>
      </c>
      <c r="J250" s="384">
        <f t="shared" si="248"/>
        <v>20</v>
      </c>
      <c r="K250" s="364"/>
      <c r="L250" s="365"/>
      <c r="M250" s="355"/>
      <c r="N250" s="379">
        <f>IF(ISNUMBER(N243),(15+N243/MAX($I244:$J244)*20)*21,"")</f>
        <v>630</v>
      </c>
      <c r="O250" s="356"/>
      <c r="P250" s="355"/>
      <c r="Q250" s="355"/>
      <c r="R250" s="379" t="str">
        <f>IF(ISNUMBER(R243),(15+R243/MAX($I244:$J244)*20)*21,"")</f>
        <v/>
      </c>
      <c r="S250" s="356"/>
      <c r="T250" s="355"/>
      <c r="U250" s="355"/>
      <c r="V250" s="379" t="str">
        <f>IF(ISNUMBER(V243),(15+V243/MAX($I244:$J244)*20)*21,"")</f>
        <v/>
      </c>
      <c r="W250" s="356"/>
      <c r="X250" s="355"/>
      <c r="Y250" s="355"/>
      <c r="Z250" s="379" t="str">
        <f>IF(ISNUMBER(Z243),(15+Z243/MAX($I244:$J244)*20)*21,"")</f>
        <v/>
      </c>
      <c r="AA250" s="356"/>
      <c r="AB250" s="355"/>
      <c r="AC250" s="355"/>
      <c r="AD250" s="379" t="str">
        <f>IF(ISNUMBER(AD243),(15+AD243/MAX($I244:$J244)*20)*21,"")</f>
        <v/>
      </c>
      <c r="AE250" s="356"/>
      <c r="AF250" s="355"/>
      <c r="AG250" s="355"/>
      <c r="AH250" s="379" t="str">
        <f>IF(ISNUMBER(AH243),(15+AH243/MAX($I244:$J244)*20)*21,"")</f>
        <v/>
      </c>
      <c r="AI250" s="356"/>
      <c r="AJ250" s="355"/>
      <c r="AK250" s="355"/>
      <c r="AL250" s="379" t="str">
        <f>IF(ISNUMBER(AL243),(15+AL243/MAX($I244:$J244)*20)*21,"")</f>
        <v/>
      </c>
      <c r="AM250" s="356"/>
      <c r="AN250" s="355"/>
      <c r="AO250" s="355"/>
      <c r="AP250" s="379" t="str">
        <f>IF(ISNUMBER(AP243),(15+AP243/MAX($I244:$J244)*20)*21,"")</f>
        <v/>
      </c>
      <c r="AQ250" s="356"/>
      <c r="AR250" s="355"/>
      <c r="AS250" s="355"/>
      <c r="AT250" s="379" t="str">
        <f>IF(ISNUMBER(AT243),(15+AT243/MAX($I244:$J244)*20)*21,"")</f>
        <v/>
      </c>
      <c r="AU250" s="356"/>
      <c r="AV250" s="355"/>
      <c r="AW250" s="355"/>
      <c r="AX250" s="379" t="str">
        <f>IF(ISNUMBER(AX243),(15+AX243/MAX($I244:$J244)*20)*21,"")</f>
        <v/>
      </c>
      <c r="AY250" s="356"/>
      <c r="AZ250" s="355"/>
      <c r="BA250" s="355"/>
      <c r="BB250" s="379">
        <f>IF(ISNUMBER(BB243),(15+BB243/MAX($I244:$J244)*20)*21,"")</f>
        <v>586.76470588235293</v>
      </c>
      <c r="BC250" s="356"/>
      <c r="BD250" s="355"/>
      <c r="BE250" s="355"/>
      <c r="BF250" s="379" t="str">
        <f>IF(ISNUMBER(BF243),(15+BF243/MAX($I244:$J244)*20)*21,"")</f>
        <v/>
      </c>
    </row>
    <row r="251" spans="2:58" ht="14" customHeight="1" thickBot="1" x14ac:dyDescent="0.35">
      <c r="B251" s="758"/>
      <c r="C251" s="569"/>
      <c r="D251" s="304" t="s">
        <v>164</v>
      </c>
      <c r="E251" s="305" t="s">
        <v>310</v>
      </c>
      <c r="F251" s="306" t="s">
        <v>311</v>
      </c>
      <c r="G251" s="305" t="str">
        <f t="shared" si="249"/>
        <v>D</v>
      </c>
      <c r="H251" s="306" t="str">
        <f t="shared" si="249"/>
        <v>I</v>
      </c>
      <c r="I251" s="390">
        <f t="shared" si="250"/>
        <v>20</v>
      </c>
      <c r="J251" s="391">
        <f t="shared" si="248"/>
        <v>18.529411764705884</v>
      </c>
      <c r="K251" s="366"/>
      <c r="L251" s="367"/>
      <c r="M251" s="368"/>
      <c r="N251" s="375" t="str">
        <f>IF(ISNUMBER(N244),(40+N244/MAX($I244:$J244)*20)*21,"")</f>
        <v/>
      </c>
      <c r="O251" s="376"/>
      <c r="P251" s="368"/>
      <c r="Q251" s="368"/>
      <c r="R251" s="375" t="str">
        <f>IF(ISNUMBER(R244),(40+R244/MAX($I244:$J244)*20)*21,"")</f>
        <v/>
      </c>
      <c r="S251" s="376"/>
      <c r="T251" s="368"/>
      <c r="U251" s="368"/>
      <c r="V251" s="375" t="str">
        <f>IF(ISNUMBER(V244),(40+V244/MAX($I244:$J244)*20)*21,"")</f>
        <v/>
      </c>
      <c r="W251" s="376"/>
      <c r="X251" s="368"/>
      <c r="Y251" s="368"/>
      <c r="Z251" s="375">
        <f>IF(ISNUMBER(Z244),(40+Z244/MAX($I244:$J244)*20)*21,"")</f>
        <v>1260</v>
      </c>
      <c r="AA251" s="376"/>
      <c r="AB251" s="368"/>
      <c r="AC251" s="368"/>
      <c r="AD251" s="375" t="str">
        <f>IF(ISNUMBER(AD244),(40+AD244/MAX($I244:$J244)*20)*21,"")</f>
        <v/>
      </c>
      <c r="AE251" s="376"/>
      <c r="AF251" s="368"/>
      <c r="AG251" s="368"/>
      <c r="AH251" s="375" t="str">
        <f>IF(ISNUMBER(AH244),(40+AH244/MAX($I244:$J244)*20)*21,"")</f>
        <v/>
      </c>
      <c r="AI251" s="376"/>
      <c r="AJ251" s="368"/>
      <c r="AK251" s="368"/>
      <c r="AL251" s="375" t="str">
        <f>IF(ISNUMBER(AL244),(40+AL244/MAX($I244:$J244)*20)*21,"")</f>
        <v/>
      </c>
      <c r="AM251" s="376"/>
      <c r="AN251" s="368"/>
      <c r="AO251" s="368"/>
      <c r="AP251" s="375" t="str">
        <f>IF(ISNUMBER(AP244),(40+AP244/MAX($I244:$J244)*20)*21,"")</f>
        <v/>
      </c>
      <c r="AQ251" s="376"/>
      <c r="AR251" s="368"/>
      <c r="AS251" s="368"/>
      <c r="AT251" s="375">
        <f>IF(ISNUMBER(AT244),(40+AT244/MAX($I244:$J244)*20)*21,"")</f>
        <v>1229.1176470588236</v>
      </c>
      <c r="AU251" s="376"/>
      <c r="AV251" s="368"/>
      <c r="AW251" s="368"/>
      <c r="AX251" s="375" t="str">
        <f>IF(ISNUMBER(AX244),(40+AX244/MAX($I244:$J244)*20)*21,"")</f>
        <v/>
      </c>
      <c r="AY251" s="376"/>
      <c r="AZ251" s="368"/>
      <c r="BA251" s="368"/>
      <c r="BB251" s="375" t="str">
        <f>IF(ISNUMBER(BB244),(40+BB244/MAX($I244:$J244)*20)*21,"")</f>
        <v/>
      </c>
      <c r="BC251" s="376"/>
      <c r="BD251" s="368"/>
      <c r="BE251" s="368"/>
      <c r="BF251" s="375" t="str">
        <f>IF(ISNUMBER(BF244),(40+BF244/MAX($I244:$J244)*20)*21,"")</f>
        <v/>
      </c>
    </row>
    <row r="252" spans="2:58" x14ac:dyDescent="0.3">
      <c r="B252" s="758"/>
      <c r="D252" s="25"/>
      <c r="E252" s="26"/>
      <c r="F252" s="26"/>
      <c r="G252" s="26"/>
      <c r="H252" s="26"/>
      <c r="I252" s="26"/>
      <c r="J252" s="26"/>
      <c r="L252" s="1"/>
      <c r="M252" s="1"/>
      <c r="N252" s="1"/>
    </row>
    <row r="253" spans="2:58" ht="14.5" thickBot="1" x14ac:dyDescent="0.35">
      <c r="B253" s="758"/>
      <c r="D253" s="25"/>
      <c r="E253" s="26"/>
      <c r="F253" s="26"/>
      <c r="G253" s="26"/>
      <c r="H253" s="26"/>
      <c r="I253" s="26"/>
      <c r="J253" s="26"/>
      <c r="L253" s="1"/>
      <c r="M253" s="1"/>
      <c r="N253" s="1"/>
    </row>
    <row r="254" spans="2:58" x14ac:dyDescent="0.3">
      <c r="B254" s="758"/>
      <c r="C254" s="733" t="s">
        <v>148</v>
      </c>
      <c r="D254" s="734"/>
      <c r="E254" s="702" t="s">
        <v>165</v>
      </c>
      <c r="F254" s="703"/>
      <c r="G254" s="703"/>
      <c r="H254" s="703"/>
      <c r="I254" s="703"/>
      <c r="J254" s="703"/>
      <c r="K254" s="321">
        <f>SUM(K205:K209)</f>
        <v>0</v>
      </c>
      <c r="L254" s="322"/>
      <c r="M254" s="322"/>
      <c r="N254" s="323"/>
      <c r="O254" s="321">
        <f>SUM(O205:O209)</f>
        <v>882</v>
      </c>
      <c r="P254" s="322"/>
      <c r="Q254" s="322"/>
      <c r="R254" s="323"/>
      <c r="S254" s="321">
        <f>SUM(S205:S209)</f>
        <v>0</v>
      </c>
      <c r="T254" s="322"/>
      <c r="U254" s="322"/>
      <c r="V254" s="323"/>
      <c r="W254" s="321">
        <f>SUM(W205:W209)</f>
        <v>0</v>
      </c>
      <c r="X254" s="322"/>
      <c r="Y254" s="322"/>
      <c r="Z254" s="323"/>
      <c r="AA254" s="321">
        <f>SUM(AA205:AA209)</f>
        <v>756</v>
      </c>
      <c r="AB254" s="322"/>
      <c r="AC254" s="322"/>
      <c r="AD254" s="323"/>
      <c r="AE254" s="321">
        <f>SUM(AE205:AE209)</f>
        <v>0</v>
      </c>
      <c r="AF254" s="322"/>
      <c r="AG254" s="322"/>
      <c r="AH254" s="323"/>
      <c r="AI254" s="321">
        <f>SUM(AI205:AI209)</f>
        <v>0</v>
      </c>
      <c r="AJ254" s="322"/>
      <c r="AK254" s="322"/>
      <c r="AL254" s="323"/>
      <c r="AM254" s="321">
        <f>SUM(AM205:AM209)</f>
        <v>819</v>
      </c>
      <c r="AN254" s="322"/>
      <c r="AO254" s="322"/>
      <c r="AP254" s="323"/>
      <c r="AQ254" s="321">
        <f>SUM(AQ205:AQ209)</f>
        <v>1134</v>
      </c>
      <c r="AR254" s="322"/>
      <c r="AS254" s="322"/>
      <c r="AT254" s="323"/>
      <c r="AU254" s="321">
        <f>SUM(AU205:AU209)</f>
        <v>0</v>
      </c>
      <c r="AV254" s="322"/>
      <c r="AW254" s="322"/>
      <c r="AX254" s="323"/>
      <c r="AY254" s="321">
        <f>SUM(AY205:AY209)</f>
        <v>0</v>
      </c>
      <c r="AZ254" s="322"/>
      <c r="BA254" s="322"/>
      <c r="BB254" s="323"/>
      <c r="BC254" s="321">
        <f>SUM(BC205:BC209)</f>
        <v>1197</v>
      </c>
      <c r="BD254" s="322"/>
      <c r="BE254" s="322"/>
      <c r="BF254" s="323"/>
    </row>
    <row r="255" spans="2:58" x14ac:dyDescent="0.3">
      <c r="B255" s="758"/>
      <c r="C255" s="735"/>
      <c r="D255" s="736"/>
      <c r="E255" s="704" t="s">
        <v>162</v>
      </c>
      <c r="F255" s="705"/>
      <c r="G255" s="705"/>
      <c r="H255" s="705"/>
      <c r="I255" s="705"/>
      <c r="J255" s="705"/>
      <c r="K255" s="324"/>
      <c r="L255" s="318">
        <f>SUM(L217:L223)</f>
        <v>1260</v>
      </c>
      <c r="M255" s="319"/>
      <c r="N255" s="325"/>
      <c r="O255" s="324"/>
      <c r="P255" s="318">
        <f>SUM(P217:P223)</f>
        <v>0</v>
      </c>
      <c r="Q255" s="319"/>
      <c r="R255" s="325"/>
      <c r="S255" s="324"/>
      <c r="T255" s="318">
        <f>SUM(T217:T223)</f>
        <v>0</v>
      </c>
      <c r="U255" s="319"/>
      <c r="V255" s="325"/>
      <c r="W255" s="324"/>
      <c r="X255" s="318">
        <f>SUM(X217:X223)</f>
        <v>0</v>
      </c>
      <c r="Y255" s="319"/>
      <c r="Z255" s="325"/>
      <c r="AA255" s="324"/>
      <c r="AB255" s="318">
        <f>SUM(AB217:AB223)</f>
        <v>1112.0869565217392</v>
      </c>
      <c r="AC255" s="319"/>
      <c r="AD255" s="325"/>
      <c r="AE255" s="324"/>
      <c r="AF255" s="318">
        <f>SUM(AF217:AF223)</f>
        <v>620.89595375722547</v>
      </c>
      <c r="AG255" s="319"/>
      <c r="AH255" s="325"/>
      <c r="AI255" s="324"/>
      <c r="AJ255" s="318">
        <f>SUM(AJ217:AJ223)</f>
        <v>0</v>
      </c>
      <c r="AK255" s="319"/>
      <c r="AL255" s="325"/>
      <c r="AM255" s="324"/>
      <c r="AN255" s="318">
        <f>SUM(AN217:AN223)</f>
        <v>0</v>
      </c>
      <c r="AO255" s="319"/>
      <c r="AP255" s="325"/>
      <c r="AQ255" s="324"/>
      <c r="AR255" s="318">
        <f>SUM(AR217:AR223)</f>
        <v>197.09497206703909</v>
      </c>
      <c r="AS255" s="319"/>
      <c r="AT255" s="325"/>
      <c r="AU255" s="324"/>
      <c r="AV255" s="318">
        <f>SUM(AV217:AV223)</f>
        <v>210</v>
      </c>
      <c r="AW255" s="319"/>
      <c r="AX255" s="325"/>
      <c r="AY255" s="324"/>
      <c r="AZ255" s="318">
        <f>SUM(AZ217:AZ223)</f>
        <v>0</v>
      </c>
      <c r="BA255" s="319"/>
      <c r="BB255" s="325"/>
      <c r="BC255" s="324"/>
      <c r="BD255" s="318">
        <f>SUM(BD217:BD223)</f>
        <v>630</v>
      </c>
      <c r="BE255" s="319"/>
      <c r="BF255" s="325"/>
    </row>
    <row r="256" spans="2:58" x14ac:dyDescent="0.3">
      <c r="B256" s="758"/>
      <c r="C256" s="735"/>
      <c r="D256" s="736"/>
      <c r="E256" s="706" t="s">
        <v>166</v>
      </c>
      <c r="F256" s="707"/>
      <c r="G256" s="707"/>
      <c r="H256" s="707"/>
      <c r="I256" s="707"/>
      <c r="J256" s="707"/>
      <c r="K256" s="324"/>
      <c r="L256" s="319"/>
      <c r="M256" s="320">
        <f>SUM(M231:M237)</f>
        <v>0</v>
      </c>
      <c r="N256" s="325"/>
      <c r="O256" s="324"/>
      <c r="P256" s="319"/>
      <c r="Q256" s="320">
        <f>IF(ISNUMBER(SUM(Q231:Q237)),SUM(Q231:Q237),"")</f>
        <v>210</v>
      </c>
      <c r="R256" s="325"/>
      <c r="S256" s="324"/>
      <c r="T256" s="319"/>
      <c r="U256" s="320">
        <f>SUM(U231:U237)</f>
        <v>0</v>
      </c>
      <c r="V256" s="325"/>
      <c r="W256" s="324"/>
      <c r="X256" s="319"/>
      <c r="Y256" s="320">
        <f>SUM(Y231:Y237)</f>
        <v>588</v>
      </c>
      <c r="Z256" s="325"/>
      <c r="AA256" s="324"/>
      <c r="AB256" s="319"/>
      <c r="AC256" s="320">
        <f>SUM(AC231:AC237)</f>
        <v>1260</v>
      </c>
      <c r="AD256" s="325"/>
      <c r="AE256" s="324"/>
      <c r="AF256" s="319"/>
      <c r="AG256" s="320">
        <f>SUM(AG231:AG237)</f>
        <v>0</v>
      </c>
      <c r="AH256" s="325"/>
      <c r="AI256" s="324"/>
      <c r="AJ256" s="319"/>
      <c r="AK256" s="320">
        <f>SUM(AK231:AK237)</f>
        <v>0</v>
      </c>
      <c r="AL256" s="325"/>
      <c r="AM256" s="324"/>
      <c r="AN256" s="319"/>
      <c r="AO256" s="320">
        <f>SUM(AO231:AO237)</f>
        <v>126</v>
      </c>
      <c r="AP256" s="325"/>
      <c r="AQ256" s="324"/>
      <c r="AR256" s="319"/>
      <c r="AS256" s="320">
        <f>SUM(AS231:AS237)</f>
        <v>630</v>
      </c>
      <c r="AT256" s="325"/>
      <c r="AU256" s="324"/>
      <c r="AV256" s="319"/>
      <c r="AW256" s="320">
        <f>SUM(AW231:AW237)</f>
        <v>0</v>
      </c>
      <c r="AX256" s="325"/>
      <c r="AY256" s="324"/>
      <c r="AZ256" s="319"/>
      <c r="BA256" s="320">
        <f>SUM(BA231:BA237)</f>
        <v>0</v>
      </c>
      <c r="BB256" s="325"/>
      <c r="BC256" s="324"/>
      <c r="BD256" s="319"/>
      <c r="BE256" s="320">
        <f>SUM(BE231:BE237)</f>
        <v>1029</v>
      </c>
      <c r="BF256" s="325"/>
    </row>
    <row r="257" spans="2:58" ht="14.5" thickBot="1" x14ac:dyDescent="0.35">
      <c r="B257" s="758"/>
      <c r="C257" s="735"/>
      <c r="D257" s="736"/>
      <c r="E257" s="570" t="s">
        <v>313</v>
      </c>
      <c r="F257" s="571"/>
      <c r="G257" s="571"/>
      <c r="H257" s="571"/>
      <c r="I257" s="571"/>
      <c r="J257" s="571"/>
      <c r="K257" s="326"/>
      <c r="L257" s="327"/>
      <c r="M257" s="327"/>
      <c r="N257" s="389">
        <f>SUM(N245:N251)</f>
        <v>630</v>
      </c>
      <c r="O257" s="326"/>
      <c r="P257" s="327"/>
      <c r="Q257" s="327"/>
      <c r="R257" s="389">
        <f>SUM(R245:R251)</f>
        <v>0</v>
      </c>
      <c r="S257" s="326"/>
      <c r="T257" s="327"/>
      <c r="U257" s="327"/>
      <c r="V257" s="389">
        <f>SUM(V245:V251)</f>
        <v>376.76470588235298</v>
      </c>
      <c r="W257" s="326"/>
      <c r="X257" s="327"/>
      <c r="Y257" s="327"/>
      <c r="Z257" s="389">
        <f>SUM(Z245:Z251)</f>
        <v>1260</v>
      </c>
      <c r="AA257" s="326"/>
      <c r="AB257" s="327"/>
      <c r="AC257" s="327"/>
      <c r="AD257" s="389">
        <f>SUM(AD245:AD251)</f>
        <v>302.64705882352939</v>
      </c>
      <c r="AE257" s="326"/>
      <c r="AF257" s="327"/>
      <c r="AG257" s="327"/>
      <c r="AH257" s="389">
        <f>SUM(AH245:AH251)</f>
        <v>0</v>
      </c>
      <c r="AI257" s="326"/>
      <c r="AJ257" s="327"/>
      <c r="AK257" s="327"/>
      <c r="AL257" s="389">
        <f>SUM(AL245:AL251)</f>
        <v>0</v>
      </c>
      <c r="AM257" s="326"/>
      <c r="AN257" s="327"/>
      <c r="AO257" s="327"/>
      <c r="AP257" s="389">
        <f>SUM(AP245:AP251)</f>
        <v>0</v>
      </c>
      <c r="AQ257" s="326"/>
      <c r="AR257" s="327"/>
      <c r="AS257" s="327"/>
      <c r="AT257" s="389">
        <f>SUM(AT245:AT251)</f>
        <v>1229.1176470588236</v>
      </c>
      <c r="AU257" s="326"/>
      <c r="AV257" s="327"/>
      <c r="AW257" s="327"/>
      <c r="AX257" s="389">
        <f>SUM(AX245:AX251)</f>
        <v>0</v>
      </c>
      <c r="AY257" s="326"/>
      <c r="AZ257" s="327"/>
      <c r="BA257" s="327"/>
      <c r="BB257" s="389">
        <f>SUM(BB245:BB251)</f>
        <v>586.76470588235293</v>
      </c>
      <c r="BC257" s="326"/>
      <c r="BD257" s="327"/>
      <c r="BE257" s="327"/>
      <c r="BF257" s="389">
        <f>SUM(BF245:BF251)</f>
        <v>0</v>
      </c>
    </row>
    <row r="258" spans="2:58" ht="14.5" thickBot="1" x14ac:dyDescent="0.35">
      <c r="B258" s="758"/>
      <c r="C258" s="737"/>
      <c r="D258" s="738"/>
      <c r="E258" s="708" t="s">
        <v>27</v>
      </c>
      <c r="F258" s="709"/>
      <c r="G258" s="709"/>
      <c r="H258" s="709"/>
      <c r="I258" s="709"/>
      <c r="J258" s="710"/>
      <c r="K258" s="515">
        <f>SUM(K254,L255,M256,N257)</f>
        <v>1890</v>
      </c>
      <c r="L258" s="516"/>
      <c r="M258" s="516"/>
      <c r="N258" s="517"/>
      <c r="O258" s="515">
        <f t="shared" ref="O258" si="251">SUM(O254,P255,Q256,R257)</f>
        <v>1092</v>
      </c>
      <c r="P258" s="516"/>
      <c r="Q258" s="516"/>
      <c r="R258" s="517"/>
      <c r="S258" s="515">
        <f t="shared" ref="S258" si="252">SUM(S254,T255,U256,V257)</f>
        <v>376.76470588235298</v>
      </c>
      <c r="T258" s="516"/>
      <c r="U258" s="516"/>
      <c r="V258" s="517"/>
      <c r="W258" s="515">
        <f t="shared" ref="W258" si="253">SUM(W254,X255,Y256,Z257)</f>
        <v>1848</v>
      </c>
      <c r="X258" s="516"/>
      <c r="Y258" s="516"/>
      <c r="Z258" s="517"/>
      <c r="AA258" s="515">
        <f t="shared" ref="AA258" si="254">SUM(AA254,AB255,AC256,AD257)</f>
        <v>3430.7340153452683</v>
      </c>
      <c r="AB258" s="516"/>
      <c r="AC258" s="516"/>
      <c r="AD258" s="517"/>
      <c r="AE258" s="515">
        <f t="shared" ref="AE258" si="255">SUM(AE254,AF255,AG256,AH257)</f>
        <v>620.89595375722547</v>
      </c>
      <c r="AF258" s="516"/>
      <c r="AG258" s="516"/>
      <c r="AH258" s="517"/>
      <c r="AI258" s="515">
        <f t="shared" ref="AI258" si="256">SUM(AI254,AJ255,AK256,AL257)</f>
        <v>0</v>
      </c>
      <c r="AJ258" s="516"/>
      <c r="AK258" s="516"/>
      <c r="AL258" s="517"/>
      <c r="AM258" s="515">
        <f t="shared" ref="AM258" si="257">SUM(AM254,AN255,AO256,AP257)</f>
        <v>945</v>
      </c>
      <c r="AN258" s="516"/>
      <c r="AO258" s="516"/>
      <c r="AP258" s="517"/>
      <c r="AQ258" s="515">
        <f t="shared" ref="AQ258" si="258">SUM(AQ254,AR255,AS256,AT257)</f>
        <v>3190.2126191258631</v>
      </c>
      <c r="AR258" s="516"/>
      <c r="AS258" s="516"/>
      <c r="AT258" s="517"/>
      <c r="AU258" s="515">
        <f t="shared" ref="AU258" si="259">SUM(AU254,AV255,AW256,AX257)</f>
        <v>210</v>
      </c>
      <c r="AV258" s="516"/>
      <c r="AW258" s="516"/>
      <c r="AX258" s="517"/>
      <c r="AY258" s="515">
        <f t="shared" ref="AY258" si="260">SUM(AY254,AZ255,BA256,BB257)</f>
        <v>586.76470588235293</v>
      </c>
      <c r="AZ258" s="516"/>
      <c r="BA258" s="516"/>
      <c r="BB258" s="517"/>
      <c r="BC258" s="543">
        <f t="shared" ref="BC258" si="261">SUM(BC254,BD255,BE256,BF257)</f>
        <v>2856</v>
      </c>
      <c r="BD258" s="544"/>
      <c r="BE258" s="544"/>
      <c r="BF258" s="544"/>
    </row>
    <row r="259" spans="2:58" x14ac:dyDescent="0.3">
      <c r="B259" s="758"/>
      <c r="C259" s="5"/>
      <c r="D259" s="5"/>
      <c r="E259" s="5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2:58" ht="14.5" customHeight="1" thickBot="1" x14ac:dyDescent="0.35">
      <c r="B260" s="758"/>
      <c r="C260" s="5"/>
      <c r="D260" s="5"/>
      <c r="E260" s="5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2:58" s="6" customFormat="1" ht="20.25" customHeight="1" x14ac:dyDescent="0.3">
      <c r="B261" s="758"/>
      <c r="C261" s="711" t="s">
        <v>237</v>
      </c>
      <c r="D261" s="712"/>
      <c r="E261" s="712"/>
      <c r="F261" s="712"/>
      <c r="G261" s="712"/>
      <c r="H261" s="712"/>
      <c r="I261" s="712"/>
      <c r="J261" s="713"/>
      <c r="K261" s="528" t="str">
        <f>IF(RANK(K254,$K254:$BE254)&gt;5,"",RANK(K254,$K254:$BE254))</f>
        <v/>
      </c>
      <c r="L261" s="529"/>
      <c r="M261" s="529"/>
      <c r="N261" s="530"/>
      <c r="O261" s="528">
        <f>IF(RANK(O254,$K254:$BE254)&gt;5,"",RANK(O254,$K254:$BE254))</f>
        <v>3</v>
      </c>
      <c r="P261" s="529"/>
      <c r="Q261" s="529"/>
      <c r="R261" s="530"/>
      <c r="S261" s="528" t="str">
        <f>IF(RANK(S254,$K254:$BE254)&gt;5,"",RANK(S254,$K254:$BE254))</f>
        <v/>
      </c>
      <c r="T261" s="529"/>
      <c r="U261" s="529"/>
      <c r="V261" s="530"/>
      <c r="W261" s="528" t="str">
        <f>IF(RANK(W254,$K254:$BE254)&gt;5,"",RANK(W254,$K254:$BE254))</f>
        <v/>
      </c>
      <c r="X261" s="529"/>
      <c r="Y261" s="529"/>
      <c r="Z261" s="530"/>
      <c r="AA261" s="528">
        <f>IF(RANK(AA254,$K254:$BE254)&gt;5,"",RANK(AA254,$K254:$BE254))</f>
        <v>5</v>
      </c>
      <c r="AB261" s="529"/>
      <c r="AC261" s="529"/>
      <c r="AD261" s="530"/>
      <c r="AE261" s="528" t="str">
        <f>IF(RANK(AE254,$K254:$BE254)&gt;5,"",RANK(AE254,$K254:$BE254))</f>
        <v/>
      </c>
      <c r="AF261" s="529"/>
      <c r="AG261" s="529"/>
      <c r="AH261" s="530"/>
      <c r="AI261" s="528" t="str">
        <f>IF(RANK(AI254,$K254:$BE254)&gt;5,"",RANK(AI254,$K254:$BE254))</f>
        <v/>
      </c>
      <c r="AJ261" s="529"/>
      <c r="AK261" s="529"/>
      <c r="AL261" s="530"/>
      <c r="AM261" s="528">
        <f>IF(RANK(AM254,$K254:$BE254)&gt;5,"",RANK(AM254,$K254:$BE254))</f>
        <v>4</v>
      </c>
      <c r="AN261" s="529"/>
      <c r="AO261" s="529"/>
      <c r="AP261" s="530"/>
      <c r="AQ261" s="528">
        <f>IF(RANK(AQ254,$K254:$BE254)&gt;5,"",RANK(AQ254,$K254:$BE254))</f>
        <v>2</v>
      </c>
      <c r="AR261" s="529"/>
      <c r="AS261" s="529"/>
      <c r="AT261" s="530"/>
      <c r="AU261" s="528" t="str">
        <f>IF(RANK(AU254,$K254:$BE254)&gt;5,"",RANK(AU254,$K254:$BE254))</f>
        <v/>
      </c>
      <c r="AV261" s="529"/>
      <c r="AW261" s="529"/>
      <c r="AX261" s="530"/>
      <c r="AY261" s="528" t="str">
        <f>IF(RANK(AY254,$K254:$BE254)&gt;5,"",RANK(AY254,$K254:$BE254))</f>
        <v/>
      </c>
      <c r="AZ261" s="529"/>
      <c r="BA261" s="529"/>
      <c r="BB261" s="530"/>
      <c r="BC261" s="528">
        <f>IF(RANK(BC254,$K254:$BE254)&gt;5,"",RANK(BC254,$K254:$BE254))</f>
        <v>1</v>
      </c>
      <c r="BD261" s="529"/>
      <c r="BE261" s="529"/>
      <c r="BF261" s="530"/>
    </row>
    <row r="262" spans="2:58" s="6" customFormat="1" ht="20.25" customHeight="1" x14ac:dyDescent="0.3">
      <c r="B262" s="758"/>
      <c r="C262" s="739" t="s">
        <v>238</v>
      </c>
      <c r="D262" s="740"/>
      <c r="E262" s="740"/>
      <c r="F262" s="740"/>
      <c r="G262" s="740"/>
      <c r="H262" s="740"/>
      <c r="I262" s="740"/>
      <c r="J262" s="741"/>
      <c r="K262" s="531">
        <f>IF(RANK(L255,$K255:$BE255)&gt;6,"",RANK(L255,$K255:$BE255))</f>
        <v>1</v>
      </c>
      <c r="L262" s="532"/>
      <c r="M262" s="532"/>
      <c r="N262" s="533"/>
      <c r="O262" s="531" t="str">
        <f>IF(RANK(P255,$K255:$BE255)&gt;6,"",RANK(P255,$K255:$BE255))</f>
        <v/>
      </c>
      <c r="P262" s="532"/>
      <c r="Q262" s="532"/>
      <c r="R262" s="533"/>
      <c r="S262" s="531" t="str">
        <f>IF(RANK(T255,$K255:$BE255)&gt;6,"",RANK(T255,$K255:$BE255))</f>
        <v/>
      </c>
      <c r="T262" s="532"/>
      <c r="U262" s="532"/>
      <c r="V262" s="533"/>
      <c r="W262" s="531" t="str">
        <f>IF(RANK(X255,$K255:$BE255)&gt;6,"",RANK(X255,$K255:$BE255))</f>
        <v/>
      </c>
      <c r="X262" s="532"/>
      <c r="Y262" s="532"/>
      <c r="Z262" s="533"/>
      <c r="AA262" s="531">
        <f>IF(RANK(AB255,$K255:$BE255)&gt;6,"",RANK(AB255,$K255:$BE255))</f>
        <v>2</v>
      </c>
      <c r="AB262" s="532"/>
      <c r="AC262" s="532"/>
      <c r="AD262" s="533"/>
      <c r="AE262" s="531">
        <f>IF(RANK(AF255,$K255:$BE255)&gt;6,"",RANK(AF255,$K255:$BE255))</f>
        <v>4</v>
      </c>
      <c r="AF262" s="532"/>
      <c r="AG262" s="532"/>
      <c r="AH262" s="533"/>
      <c r="AI262" s="531" t="str">
        <f>IF(RANK(AJ255,$K255:$BE255)&gt;6,"",RANK(AJ255,$K255:$BE255))</f>
        <v/>
      </c>
      <c r="AJ262" s="532"/>
      <c r="AK262" s="532"/>
      <c r="AL262" s="533"/>
      <c r="AM262" s="531" t="str">
        <f>IF(RANK(AN255,$K255:$BE255)&gt;6,"",RANK(AN255,$K255:$BE255))</f>
        <v/>
      </c>
      <c r="AN262" s="532"/>
      <c r="AO262" s="532"/>
      <c r="AP262" s="533"/>
      <c r="AQ262" s="531">
        <f>IF(RANK(AR255,$K255:$BE255)&gt;6,"",RANK(AR255,$K255:$BE255))</f>
        <v>6</v>
      </c>
      <c r="AR262" s="532"/>
      <c r="AS262" s="532"/>
      <c r="AT262" s="533"/>
      <c r="AU262" s="531">
        <f>IF(RANK(AV255,$K255:$BE255)&gt;6,"",RANK(AV255,$K255:$BE255))</f>
        <v>5</v>
      </c>
      <c r="AV262" s="532"/>
      <c r="AW262" s="532"/>
      <c r="AX262" s="533"/>
      <c r="AY262" s="531" t="str">
        <f>IF(RANK(AZ255,$K255:$BE255)&gt;6,"",RANK(AZ255,$K255:$BE255))</f>
        <v/>
      </c>
      <c r="AZ262" s="532"/>
      <c r="BA262" s="532"/>
      <c r="BB262" s="533"/>
      <c r="BC262" s="531">
        <f>IF(RANK(BD255,$K255:$BE255)&gt;6,"",RANK(BD255,$K255:$BE255))</f>
        <v>3</v>
      </c>
      <c r="BD262" s="532"/>
      <c r="BE262" s="532"/>
      <c r="BF262" s="533"/>
    </row>
    <row r="263" spans="2:58" s="6" customFormat="1" ht="20.25" customHeight="1" thickBot="1" x14ac:dyDescent="0.35">
      <c r="B263" s="758"/>
      <c r="C263" s="572" t="s">
        <v>239</v>
      </c>
      <c r="D263" s="573"/>
      <c r="E263" s="573"/>
      <c r="F263" s="573"/>
      <c r="G263" s="573"/>
      <c r="H263" s="573"/>
      <c r="I263" s="573"/>
      <c r="J263" s="574"/>
      <c r="K263" s="534" t="str">
        <f>IF(RANK(M256,$K256:$BE256)&gt;6,"",RANK(M256,$K256:$BE256))</f>
        <v/>
      </c>
      <c r="L263" s="535"/>
      <c r="M263" s="535"/>
      <c r="N263" s="536"/>
      <c r="O263" s="534">
        <f>IF(RANK(Q256,$K256:$BE256)&gt;6,"",RANK(Q256,$K256:$BE256))</f>
        <v>5</v>
      </c>
      <c r="P263" s="535"/>
      <c r="Q263" s="535"/>
      <c r="R263" s="536"/>
      <c r="S263" s="534" t="str">
        <f>IF(RANK(U256,$K256:$BE256)&gt;6,"",RANK(U256,$K256:$BE256))</f>
        <v/>
      </c>
      <c r="T263" s="535"/>
      <c r="U263" s="535"/>
      <c r="V263" s="536"/>
      <c r="W263" s="534">
        <f>IF(RANK(Y256,$K256:$BE256)&gt;6,"",RANK(Y256,$K256:$BE256))</f>
        <v>4</v>
      </c>
      <c r="X263" s="535"/>
      <c r="Y263" s="535"/>
      <c r="Z263" s="536"/>
      <c r="AA263" s="534">
        <f>IF(RANK(AC256,$K256:$BE256)&gt;6,"",RANK(AC256,$K256:$BE256))</f>
        <v>1</v>
      </c>
      <c r="AB263" s="535"/>
      <c r="AC263" s="535"/>
      <c r="AD263" s="536"/>
      <c r="AE263" s="534" t="str">
        <f>IF(RANK(AG256,$K256:$BE256)&gt;6,"",RANK(AG256,$K256:$BE256))</f>
        <v/>
      </c>
      <c r="AF263" s="535"/>
      <c r="AG263" s="535"/>
      <c r="AH263" s="536"/>
      <c r="AI263" s="534" t="str">
        <f>IF(RANK(AK256,$K256:$BE256)&gt;6,"",RANK(AK256,$K256:$BE256))</f>
        <v/>
      </c>
      <c r="AJ263" s="535"/>
      <c r="AK263" s="535"/>
      <c r="AL263" s="536"/>
      <c r="AM263" s="534">
        <f>IF(RANK(AO256,$K256:$BE256)&gt;6,"",RANK(AO256,$K256:$BE256))</f>
        <v>6</v>
      </c>
      <c r="AN263" s="535"/>
      <c r="AO263" s="535"/>
      <c r="AP263" s="536"/>
      <c r="AQ263" s="534">
        <f>IF(RANK(AS256,$K256:$BE256)&gt;6,"",RANK(AS256,$K256:$BE256))</f>
        <v>3</v>
      </c>
      <c r="AR263" s="535"/>
      <c r="AS263" s="535"/>
      <c r="AT263" s="536"/>
      <c r="AU263" s="534" t="str">
        <f>IF(RANK(AW256,$K256:$BE256)&gt;6,"",RANK(AW256,$K256:$BE256))</f>
        <v/>
      </c>
      <c r="AV263" s="535"/>
      <c r="AW263" s="535"/>
      <c r="AX263" s="536"/>
      <c r="AY263" s="534" t="str">
        <f>IF(RANK(BA256,$K256:$BE256)&gt;6,"",RANK(BA256,$K256:$BE256))</f>
        <v/>
      </c>
      <c r="AZ263" s="535"/>
      <c r="BA263" s="535"/>
      <c r="BB263" s="536"/>
      <c r="BC263" s="534">
        <f>IF(RANK(BE256,$K256:$BE256)&gt;6,"",RANK(BE256,$K256:$BE256))</f>
        <v>2</v>
      </c>
      <c r="BD263" s="535"/>
      <c r="BE263" s="535"/>
      <c r="BF263" s="536"/>
    </row>
    <row r="264" spans="2:58" s="6" customFormat="1" ht="20.25" customHeight="1" thickBot="1" x14ac:dyDescent="0.35">
      <c r="B264" s="758"/>
      <c r="C264" s="572" t="s">
        <v>312</v>
      </c>
      <c r="D264" s="573"/>
      <c r="E264" s="573"/>
      <c r="F264" s="573"/>
      <c r="G264" s="573"/>
      <c r="H264" s="573"/>
      <c r="I264" s="573"/>
      <c r="J264" s="574"/>
      <c r="K264" s="537">
        <f>IF(RANK(N257,$K257:$BF257)&gt;6,"",RANK(N257,$K257:$BF257))</f>
        <v>3</v>
      </c>
      <c r="L264" s="538"/>
      <c r="M264" s="538"/>
      <c r="N264" s="539"/>
      <c r="O264" s="537" t="str">
        <f>IF(RANK(R257,$K257:$BF257)&gt;6,"",RANK(R257,$K257:$BF257))</f>
        <v/>
      </c>
      <c r="P264" s="538"/>
      <c r="Q264" s="538"/>
      <c r="R264" s="539"/>
      <c r="S264" s="537">
        <f>IF(RANK(V257,$K257:$BF257)&gt;6,"",RANK(V257,$K257:$BF257))</f>
        <v>5</v>
      </c>
      <c r="T264" s="538"/>
      <c r="U264" s="538"/>
      <c r="V264" s="539"/>
      <c r="W264" s="537">
        <f>IF(RANK(Z257,$K257:$BF257)&gt;6,"",RANK(Z257,$K257:$BF257))</f>
        <v>1</v>
      </c>
      <c r="X264" s="538"/>
      <c r="Y264" s="538"/>
      <c r="Z264" s="539"/>
      <c r="AA264" s="537">
        <f>IF(RANK(AD257,$K257:$BF257)&gt;6,"",RANK(AD257,$K257:$BF257))</f>
        <v>6</v>
      </c>
      <c r="AB264" s="538"/>
      <c r="AC264" s="538"/>
      <c r="AD264" s="539"/>
      <c r="AE264" s="537" t="str">
        <f>IF(RANK(AH257,$K257:$BF257)&gt;6,"",RANK(AH257,$K257:$BF257))</f>
        <v/>
      </c>
      <c r="AF264" s="538"/>
      <c r="AG264" s="538"/>
      <c r="AH264" s="539"/>
      <c r="AI264" s="537" t="str">
        <f>IF(RANK(AL257,$K257:$BF257)&gt;6,"",RANK(AL257,$K257:$BF257))</f>
        <v/>
      </c>
      <c r="AJ264" s="538"/>
      <c r="AK264" s="538"/>
      <c r="AL264" s="539"/>
      <c r="AM264" s="537" t="str">
        <f>IF(RANK(AP257,$K257:$BF257)&gt;6,"",RANK(AP257,$K257:$BF257))</f>
        <v/>
      </c>
      <c r="AN264" s="538"/>
      <c r="AO264" s="538"/>
      <c r="AP264" s="539"/>
      <c r="AQ264" s="537">
        <f>IF(RANK(AT257,$K257:$BF257)&gt;6,"",RANK(AT257,$K257:$BF257))</f>
        <v>2</v>
      </c>
      <c r="AR264" s="538"/>
      <c r="AS264" s="538"/>
      <c r="AT264" s="539"/>
      <c r="AU264" s="537" t="str">
        <f>IF(RANK(AX257,$K257:$BF257)&gt;6,"",RANK(AX257,$K257:$BF257))</f>
        <v/>
      </c>
      <c r="AV264" s="538"/>
      <c r="AW264" s="538"/>
      <c r="AX264" s="539"/>
      <c r="AY264" s="537">
        <f>IF(RANK(BB257,$K257:$BF257)&gt;6,"",RANK(BB257,$K257:$BF257))</f>
        <v>4</v>
      </c>
      <c r="AZ264" s="538"/>
      <c r="BA264" s="538"/>
      <c r="BB264" s="539"/>
      <c r="BC264" s="537" t="str">
        <f>IF(RANK(BF257,$K257:$BF257)&gt;6,"",RANK(BF257,$K257:$BF257))</f>
        <v/>
      </c>
      <c r="BD264" s="538"/>
      <c r="BE264" s="538"/>
      <c r="BF264" s="539"/>
    </row>
    <row r="265" spans="2:58" ht="41.25" customHeight="1" thickBot="1" x14ac:dyDescent="0.35">
      <c r="B265" s="759"/>
      <c r="C265" s="714" t="s">
        <v>240</v>
      </c>
      <c r="D265" s="715"/>
      <c r="E265" s="715"/>
      <c r="F265" s="715"/>
      <c r="G265" s="715"/>
      <c r="H265" s="715"/>
      <c r="I265" s="715"/>
      <c r="J265" s="716"/>
      <c r="K265" s="525">
        <f>IF(K258&lt;&gt;0,RANK(K258,$K258:$BF258),"")</f>
        <v>4</v>
      </c>
      <c r="L265" s="526"/>
      <c r="M265" s="526"/>
      <c r="N265" s="527"/>
      <c r="O265" s="525">
        <f>IF(O258&lt;&gt;0,RANK(O258,$K258:$BF258),"")</f>
        <v>6</v>
      </c>
      <c r="P265" s="526"/>
      <c r="Q265" s="526"/>
      <c r="R265" s="527"/>
      <c r="S265" s="525">
        <f>IF(S258&lt;&gt;0,RANK(S258,$K258:$BF258),"")</f>
        <v>10</v>
      </c>
      <c r="T265" s="526"/>
      <c r="U265" s="526"/>
      <c r="V265" s="527"/>
      <c r="W265" s="525">
        <f>IF(W258&lt;&gt;0,RANK(W258,$K258:$BF258),"")</f>
        <v>5</v>
      </c>
      <c r="X265" s="526"/>
      <c r="Y265" s="526"/>
      <c r="Z265" s="527"/>
      <c r="AA265" s="525">
        <f>IF(AA258&lt;&gt;0,RANK(AA258,$K258:$BF258),"")</f>
        <v>1</v>
      </c>
      <c r="AB265" s="526"/>
      <c r="AC265" s="526"/>
      <c r="AD265" s="527"/>
      <c r="AE265" s="525">
        <f>IF(AE258&lt;&gt;0,RANK(AE258,$K258:$BF258),"")</f>
        <v>8</v>
      </c>
      <c r="AF265" s="526"/>
      <c r="AG265" s="526"/>
      <c r="AH265" s="527"/>
      <c r="AI265" s="525" t="str">
        <f>IF(AI258&lt;&gt;0,RANK(AI258,$K258:$BF258),"")</f>
        <v/>
      </c>
      <c r="AJ265" s="526"/>
      <c r="AK265" s="526"/>
      <c r="AL265" s="527"/>
      <c r="AM265" s="525">
        <f>IF(AM258&lt;&gt;0,RANK(AM258,$K258:$BF258),"")</f>
        <v>7</v>
      </c>
      <c r="AN265" s="526"/>
      <c r="AO265" s="526"/>
      <c r="AP265" s="527"/>
      <c r="AQ265" s="525">
        <f>IF(AQ258&lt;&gt;0,RANK(AQ258,$K258:$BF258),"")</f>
        <v>2</v>
      </c>
      <c r="AR265" s="526"/>
      <c r="AS265" s="526"/>
      <c r="AT265" s="527"/>
      <c r="AU265" s="525">
        <f>IF(AU258&lt;&gt;0,RANK(AU258,$K258:$BF258),"")</f>
        <v>11</v>
      </c>
      <c r="AV265" s="526"/>
      <c r="AW265" s="526"/>
      <c r="AX265" s="527"/>
      <c r="AY265" s="525">
        <f>IF(AY258&lt;&gt;0,RANK(AY258,$K258:$BF258),"")</f>
        <v>9</v>
      </c>
      <c r="AZ265" s="526"/>
      <c r="BA265" s="526"/>
      <c r="BB265" s="527"/>
      <c r="BC265" s="525">
        <f>IF(BC258&lt;&gt;0,RANK(BC258,$K258:$BF258),"")</f>
        <v>3</v>
      </c>
      <c r="BD265" s="526"/>
      <c r="BE265" s="526"/>
      <c r="BF265" s="527"/>
    </row>
    <row r="266" spans="2:58" x14ac:dyDescent="0.3"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</row>
    <row r="267" spans="2:58" ht="14.5" thickBot="1" x14ac:dyDescent="0.35">
      <c r="K267"/>
    </row>
    <row r="268" spans="2:58" ht="18" customHeight="1" thickBot="1" x14ac:dyDescent="0.35">
      <c r="K268" s="540" t="s">
        <v>228</v>
      </c>
      <c r="L268" s="541"/>
      <c r="M268" s="541"/>
      <c r="N268" s="541"/>
      <c r="O268" s="541"/>
      <c r="P268" s="541"/>
      <c r="Q268" s="541"/>
      <c r="R268" s="541"/>
      <c r="S268" s="541"/>
      <c r="T268" s="541"/>
      <c r="U268" s="541"/>
      <c r="V268" s="541"/>
      <c r="W268" s="541"/>
      <c r="X268" s="541"/>
      <c r="Y268" s="541"/>
      <c r="Z268" s="541"/>
      <c r="AA268" s="541"/>
      <c r="AB268" s="541"/>
      <c r="AC268" s="541"/>
      <c r="AD268" s="541"/>
      <c r="AE268" s="541"/>
      <c r="AF268" s="541"/>
      <c r="AG268" s="541"/>
      <c r="AH268" s="541"/>
      <c r="AI268" s="541"/>
      <c r="AJ268" s="541"/>
      <c r="AK268" s="541"/>
      <c r="AL268" s="541"/>
      <c r="AM268" s="541"/>
      <c r="AN268" s="542"/>
    </row>
    <row r="269" spans="2:58" ht="20.5" thickBot="1" x14ac:dyDescent="0.35">
      <c r="K269" s="575" t="s">
        <v>152</v>
      </c>
      <c r="L269" s="576"/>
      <c r="M269" s="576"/>
      <c r="N269" s="576"/>
      <c r="O269" s="576"/>
      <c r="P269" s="577"/>
      <c r="S269" s="590" t="s">
        <v>153</v>
      </c>
      <c r="T269" s="591"/>
      <c r="U269" s="591"/>
      <c r="V269" s="591"/>
      <c r="W269" s="591"/>
      <c r="X269" s="592"/>
      <c r="AA269" s="554" t="s">
        <v>154</v>
      </c>
      <c r="AB269" s="555"/>
      <c r="AC269" s="555"/>
      <c r="AD269" s="555"/>
      <c r="AE269" s="555"/>
      <c r="AF269" s="556"/>
      <c r="AI269" s="557" t="s">
        <v>243</v>
      </c>
      <c r="AJ269" s="558"/>
      <c r="AK269" s="558"/>
      <c r="AL269" s="558"/>
      <c r="AM269" s="558"/>
      <c r="AN269" s="559"/>
    </row>
    <row r="270" spans="2:58" x14ac:dyDescent="0.3">
      <c r="K270" s="53" t="s">
        <v>214</v>
      </c>
      <c r="L270" s="54" t="str">
        <f>IF(K261=1,K13,IF(O261=1,O13,IF(S261=1,S13,IF(W261=1,W13,IF(AA261=1,AA13,IF(AE261=1,AE13,IF(AI261=1,AI13,IF(AM261=1,AM13,IF(AQ261=1,AQ13,IF(AU261=1,AU13,IF(AY261=1,AY13,IF(BC261=1,BC13,""))))))))))))</f>
        <v>L</v>
      </c>
      <c r="M270" s="669" t="str">
        <f>IF(K261=1,K14,IF(O261=1,O14,IF(S261=1,S14,IF(W261=1,W14,IF(AA261=1,AA14,IF(AE261=1,AE14,IF(AI261=1,AI14,IF(AM261=1,AM14,IF(AQ261=1,AQ14,IF(AU261=1,AU14,IF(AY261=1,AY14,IF(BC261=1,BC14,""))))))))))))</f>
        <v>Massimo</v>
      </c>
      <c r="N270" s="670"/>
      <c r="O270" s="671"/>
      <c r="P270" s="55">
        <f>IF($K261=1,$K254,IF($O261=1,$O254,IF($S261=1,$S254,IF($W261=1,$W254,IF($AA261=1,$AA254,IF($AE261=1,$AE254,IF($AI261=1,$AI254,IF($AM261=1,$AM254,IF($AQ261=1,$AQ254,IF($AU261=1,$AU254,IF($AY261=1,$AY254,IF($BC261=1,$BC254,""))))))))))))</f>
        <v>1197</v>
      </c>
      <c r="S270" s="62" t="s">
        <v>214</v>
      </c>
      <c r="T270" s="63" t="str">
        <f>IF(K262=1,K13,IF(O262=1,O13,IF(S262=1,S13,IF(W262=1,W13,IF(AA262=1,AA13,IF(AE262=1,AE13,IF(AI262=1,AI13,IF(AM262=1,AM13,IF(AQ262=1,AQ13,IF(AU262=1,AU13,IF(AY262=1,AY13,IF(BC262=1,BC13,""))))))))))))</f>
        <v>A</v>
      </c>
      <c r="U270" s="593" t="str">
        <f>IF(K262=1,K14,IF(O262=1,O14,IF(S262=1,S14,IF(W262=1,W14,IF(AA262=1,AA14,IF(AE262=1,AE14,IF(AI262=1,AI14,IF(AM262=1,AM14,IF(AQ262=1,AQ14,IF(AU262=1,AU14,IF(AY262=1,AY14,IF(BC262=1,BC14,""))))))))))))</f>
        <v>Gianni</v>
      </c>
      <c r="V270" s="594"/>
      <c r="W270" s="595"/>
      <c r="X270" s="64">
        <f>IF($K262=1,$L255,IF($O262=1,$P255,IF($S262=1,$T255,IF($W262=1,$X255,IF($AA262=1,$AB255,IF($AE262=1,$AF255,IF($AI262=1,$AJ255,IF($AM262=1,$AN255,IF($AQ262=1,$AR255,IF($AU262=1,$AV255,IF($AY262=1,$AZ255,IF($BC262=1,$BD255,""))))))))))))</f>
        <v>1260</v>
      </c>
      <c r="AA270" s="71" t="s">
        <v>214</v>
      </c>
      <c r="AB270" s="72" t="str">
        <f>IF(K263=1,K13,IF(O263=1,O13,IF(S263=1,S13,IF(W263=1,W13,IF(AA263=1,AA13,IF(AE263=1,AE13,IF(AI263=1,AI13,IF(AM263=1,AM13,IF(AQ263=1,AQ13,IF(AU263=1,AU13,IF(AY263=1,AY13,IF(BC263=1,BC13,""))))))))))))</f>
        <v>E</v>
      </c>
      <c r="AC270" s="545" t="str">
        <f>IF(K263=1,K14,IF(O263=1,O14,IF(S263=1,S14,IF(W263=1,W14,IF(AA263=1,AA14,IF(AE263=1,AE14,IF(AI263=1,AI14,IF(AM263=1,AM14,IF(AQ263=1,AQ14,IF(AU263=1,AU14,IF(AY263=1,AY14,IF(BC263=1,BC14,""))))))))))))</f>
        <v>Stefano</v>
      </c>
      <c r="AD270" s="546"/>
      <c r="AE270" s="547"/>
      <c r="AF270" s="73">
        <f>IF($K263=1,$M256,IF($O263=1,$Q256,IF($S263=1,$U256,IF($W263=1,$Y256,IF($AA263=1,$AC256,IF($AE263=1,$AG256,IF($AI263=1,$AK256,IF($AM263=1,$AO256,IF($AQ263=1,$AS256,IF($AU263=1,$AW256,IF($AY263=1,$BA256,IF($BC263=1,$BE256,""))))))))))))</f>
        <v>1260</v>
      </c>
      <c r="AI270" s="185" t="s">
        <v>214</v>
      </c>
      <c r="AJ270" s="186" t="str">
        <f>IF(K264=1,K13,IF(O264=1,O13,IF(S264=1,S13,IF(W264=1,W13,IF(AA264=1,AA13,IF(AE264=1,AE13,IF(AI264=1,AI13,IF(AM264=1,AM13,IF(AQ264=1,AQ13,IF(AU264=1,AU13,IF(AY264=1,AY13,IF(BC264=1,BC13,""))))))))))))</f>
        <v>D</v>
      </c>
      <c r="AK270" s="560" t="str">
        <f>IF(K264=1,K14,IF(O264=1,O14,IF(S264=1,S14,IF(W264=1,W14,IF(AA264=1,AA14,IF(AE264=1,AE14,IF(AI264=1,AI14,IF(AM264=1,AM14,IF(AQ264=1,AQ14,IF(AU264=1,AU14,IF(AY264=1,AY14,IF(BC264=1,BC14,""))))))))))))</f>
        <v>Alberto</v>
      </c>
      <c r="AL270" s="561"/>
      <c r="AM270" s="562"/>
      <c r="AN270" s="386">
        <f>IF($K264=1,$N257,IF($O264=1,$R257,IF($S264=1,$V257,IF($W264=1,$Z257,IF($AA264=1,$AD257,IF($AE264=1,$AH257,IF($AI264=1,$AL257,IF($AM264=1,$AP257,IF($AQ264=1,$AT257,IF($AU264=1,$AX257,IF($AY264=1,$BB257,IF($BC264=1,$BF257,""))))))))))))</f>
        <v>1260</v>
      </c>
    </row>
    <row r="271" spans="2:58" x14ac:dyDescent="0.3">
      <c r="K271" s="56" t="s">
        <v>215</v>
      </c>
      <c r="L271" s="57" t="str">
        <f>IF(K261=2,K13,IF(O261=2,O13,IF(S261=2,S13,IF(W261=2,W13,IF(AA261=2,AA13,IF(AE261=2,AE13,IF(AI261=2,AI13,IF(AM261=2,AM13,IF(AQ261=2,AQ13,IF(AU261=2,AU13,IF(AY261=2,AY13,IF(BC261=2,BC13,""))))))))))))</f>
        <v>I</v>
      </c>
      <c r="M271" s="584" t="str">
        <f>IF(K261=2,K14,IF(O261=2,O14,IF(S261=2,S14,IF(W261=2,W14,IF(AA261=2,AA14,IF(AE261=2,AE14,IF(AI261=2,AI14,IF(AM261=2,AM14,IF(AQ261=2,AQ14,IF(AU261=2,AU14,IF(AY261=2,AY14,IF(BC261=2,BC14,""))))))))))))</f>
        <v>Alessandro</v>
      </c>
      <c r="N271" s="585"/>
      <c r="O271" s="586"/>
      <c r="P271" s="58">
        <f>IF($K261=2,$K254,IF($O261=2,$O254,IF($S261=2,$S254,IF($W261=2,$W254,IF($AA261=2,$AA254,IF($AE261=2,$AE254,IF($AI261=2,$AI254,IF($AM261=2,$AM254,IF($AQ261=2,$AQ254,IF($AU261=2,$AU254,IF($AY261=2,$AY254,IF($BC261=2,$BC254,""))))))))))))</f>
        <v>1134</v>
      </c>
      <c r="S271" s="65" t="s">
        <v>215</v>
      </c>
      <c r="T271" s="66" t="str">
        <f>IF(K262=2,K13,IF(O262=2,O13,IF(S262=2,S13,IF(W262=2,W13,IF(AA262=2,AA13,IF(AE262=2,AE13,IF(AI262=2,AI13,IF(AM262=2,AM13,IF(AQ262=2,AQ13,IF(AU262=2,AU13,IF(AY262=2,AY13,IF(BC262=2,BC13,""))))))))))))</f>
        <v>E</v>
      </c>
      <c r="U271" s="596" t="str">
        <f>IF(K262=2,K14,IF(O262=2,O14,IF(S262=2,S14,IF(W262=2,W14,IF(AA262=2,AA14,IF(AE262=2,AE14,IF(AI262=2,AI14,IF(AM262=2,AM14,IF(AQ262=2,AQ14,IF(AU262=2,AU14,IF(AY262=2,AY14,IF(BC262=2,BC14,""))))))))))))</f>
        <v>Stefano</v>
      </c>
      <c r="V271" s="597"/>
      <c r="W271" s="598"/>
      <c r="X271" s="67">
        <f>IF($K262=2,$L255,IF($O262=2,$P255,IF($S262=2,$T255,IF($W262=2,$X255,IF($AA262=2,$AB255,IF($AE262=2,$AF255,IF($AI262=2,$AJ255,IF($AM262=2,$AN255,IF($AQ262=2,$AR255,IF($AU262=2,$AV255,IF($AY262=2,$AZ255,IF($BC262=2,$BD255,""))))))))))))</f>
        <v>1112.0869565217392</v>
      </c>
      <c r="AA271" s="74" t="s">
        <v>215</v>
      </c>
      <c r="AB271" s="75" t="str">
        <f>IF(K263=2,K13,IF(O263=2,O13,IF(S263=2,S13,IF(W263=2,W13,IF(AA263=2,AA13,IF(AE263=2,AE13,IF(AI263=2,AI13,IF(AM263=2,AM13,IF(AQ263=2,AQ13,IF(AU263=2,AU13,IF(AY263=2,AY13,IF(BC263=2,BC13,""))))))))))))</f>
        <v>L</v>
      </c>
      <c r="AC271" s="548" t="str">
        <f>IF(K263=2,K14,IF(O263=2,O14,IF(S263=2,S14,IF(W263=2,W14,IF(AA263=2,AA14,IF(AE263=2,AE14,IF(AI263=2,AI14,IF(AM263=2,AM14,IF(AQ263=2,AQ14,IF(AU263=2,AU14,IF(AY263=2,AY14,IF(BC263=2,BC14,""))))))))))))</f>
        <v>Massimo</v>
      </c>
      <c r="AD271" s="549"/>
      <c r="AE271" s="550"/>
      <c r="AF271" s="76">
        <f>IF($K263=2,$M256,IF($O263=2,$Q256,IF($S263=2,$U256,IF($W263=2,$Y256,IF($AA263=2,$AC256,IF($AE263=2,$AG256,IF($AI263=2,$AK256,IF($AM263=2,$AO256,IF($AQ263=2,$AS256,IF($AU263=2,$AW256,IF($AY263=2,$BA256,IF($BC263=2,$BE256,""))))))))))))</f>
        <v>1029</v>
      </c>
      <c r="AI271" s="187" t="s">
        <v>215</v>
      </c>
      <c r="AJ271" s="188" t="str">
        <f>IF(K264=2,K13,IF(O264=2,O13,IF(S264=2,S13,IF(W264=2,W13,IF(AA264=2,AA13,IF(AE264=2,AE13,IF(AI264=2,AI13,IF(AM264=2,AM13,IF(AQ264=2,AQ13,IF(AU264=2,AU13,IF(AY264=2,AY13,IF(BC264=2,BC13,""))))))))))))</f>
        <v>I</v>
      </c>
      <c r="AK271" s="488" t="str">
        <f>IF(K264=2,K14,IF(O264=2,O14,IF(S264=2,S14,IF(W264=2,W14,IF(AA264=2,AA14,IF(AE264=2,AE14,IF(AI264=2,AI14,IF(AM264=2,AM14,IF(AQ264=2,AQ14,IF(AU264=2,AU14,IF(AY264=2,AY14,IF(BC264=2,BC14,""))))))))))))</f>
        <v>Alessandro</v>
      </c>
      <c r="AL271" s="489"/>
      <c r="AM271" s="490"/>
      <c r="AN271" s="387">
        <f>IF($K264=2,$N257,IF($O264=2,$R257,IF($S264=2,$V257,IF($W264=2,$Z257,IF($AA264=2,$AD257,IF($AE264=2,$AH257,IF($AI264=2,$AL257,IF($AM264=2,$AP257,IF($AQ264=2,$AT257,IF($AU264=2,$AX257,IF($AY264=2,$BB257,IF($BC264=2,$BF257,""))))))))))))</f>
        <v>1229.1176470588236</v>
      </c>
    </row>
    <row r="272" spans="2:58" x14ac:dyDescent="0.3">
      <c r="K272" s="56" t="s">
        <v>216</v>
      </c>
      <c r="L272" s="57" t="str">
        <f>IF(K261=3,K13,IF(O261=3,O13,IF(S261=3,S13,IF(W261=3,W13,IF(AA261=3,AA13,IF(AE261=3,AE13,IF(AI261=3,AI13,IF(AM261=3,AM13,IF(AQ261=3,AQ13,IF(AU261=3,AU13,IF(AY261=3,AY13,IF(BC261=3,BC13,""))))))))))))</f>
        <v>B</v>
      </c>
      <c r="M272" s="584" t="str">
        <f>IF(K261=3,K14,IF(O261=3,O14,IF(S261=3,S14,IF(W261=3,W14,IF(AA261=3,AA14,IF(AE261=3,AE14,IF(AI261=3,AI14,IF(AM261=3,AM14,IF(AQ261=3,AQ14,IF(AU261=3,AU14,IF(AY261=3,AY14,IF(BC261=3,BC14,""))))))))))))</f>
        <v>Pietro</v>
      </c>
      <c r="N272" s="585"/>
      <c r="O272" s="586"/>
      <c r="P272" s="58">
        <f>IF($K261=3,$K254,IF($O261=3,$O254,IF($S261=3,$S254,IF($W261=3,$W254,IF($AA261=3,$AA254,IF($AE261=3,$AE254,IF($AI261=3,$AI254,IF($AM261=3,$AM254,IF($AQ261=3,$AQ254,IF($AU261=3,$AU254,IF($AY261=3,$AY254,IF($BC261=3,$BC254,""))))))))))))</f>
        <v>882</v>
      </c>
      <c r="S272" s="65" t="s">
        <v>216</v>
      </c>
      <c r="T272" s="66" t="str">
        <f>IF(K262=3,K13,IF(O262=3,O13,IF(S262=3,S13,IF(W262=3,W13,IF(AA262=3,AA13,IF(AE262=3,AE13,IF(AI262=3,AI13,IF(AM262=3,AM13,IF(AQ262=3,AQ13,IF(AU262=3,AU13,IF(AY262=3,AY13,IF(BC262=3,BC13,""))))))))))))</f>
        <v>L</v>
      </c>
      <c r="U272" s="596" t="str">
        <f>IF(K262=3,K14,IF(O262=3,O14,IF(S262=3,S14,IF(W262=3,W14,IF(AA262=3,AA14,IF(AE262=3,AE14,IF(AI262=3,AI14,IF(AM262=3,AM14,IF(AQ262=3,AQ14,IF(AU262=3,AU14,IF(AY262=3,AY14,IF(BC262=3,BC14,""))))))))))))</f>
        <v>Massimo</v>
      </c>
      <c r="V272" s="597"/>
      <c r="W272" s="598"/>
      <c r="X272" s="67">
        <f>IF($K262=3,$L255,IF($O262=3,$P255,IF($S262=3,$T255,IF($W262=3,$X255,IF($AA262=3,$AB255,IF($AE262=3,$AF255,IF($AI262=3,$AJ255,IF($AM262=3,$AN255,IF($AQ262=3,$AR255,IF($AU262=3,$AV255,IF($AY262=3,$AZ255,IF($BC262=3,$BD255,""))))))))))))</f>
        <v>630</v>
      </c>
      <c r="AA272" s="74" t="s">
        <v>216</v>
      </c>
      <c r="AB272" s="75" t="str">
        <f>IF(K263=3,K13,IF(O263=3,O13,IF(S263=3,S13,IF(W263=3,W13,IF(AA263=3,AA13,IF(AE263=3,AE13,IF(AI263=3,AI13,IF(AM263=3,AM13,IF(AQ263=3,AQ13,IF(AU263=3,AU13,IF(AY263=3,AY13,IF(BC263=3,BC13,""))))))))))))</f>
        <v>I</v>
      </c>
      <c r="AC272" s="548" t="str">
        <f>IF(K263=3,K14,IF(O263=3,O14,IF(S263=3,S14,IF(W263=3,W14,IF(AA263=3,AA14,IF(AE263=3,AE14,IF(AI263=3,AI14,IF(AM263=3,AM14,IF(AQ263=3,AQ14,IF(AU263=3,AU14,IF(AY263=3,AY14,IF(BC263=3,BC14,""))))))))))))</f>
        <v>Alessandro</v>
      </c>
      <c r="AD272" s="549"/>
      <c r="AE272" s="550"/>
      <c r="AF272" s="76">
        <f>IF($K263=3,$M256,IF($O263=3,$Q256,IF($S263=3,$U256,IF($W263=3,$Y256,IF($AA263=3,$AC256,IF($AE263=3,$AG256,IF($AI263=3,$AK256,IF($AM263=3,$AO256,IF($AQ263=3,$AS256,IF($AU263=3,$AW256,IF($AY263=3,$BA256,IF($BC263=3,$BE256,""))))))))))))</f>
        <v>630</v>
      </c>
      <c r="AI272" s="187" t="s">
        <v>216</v>
      </c>
      <c r="AJ272" s="188" t="str">
        <f>IF(K264=3,K13,IF(O264=3,O13,IF(S264=3,S13,IF(W264=3,W13,IF(AA264=3,AA13,IF(AE264=3,AE13,IF(AI264=3,AI13,IF(AM264=3,AM13,IF(AQ264=3,AQ13,IF(AU264=3,AU13,IF(AY264=3,AY13,IF(BC264=3,BC13,""))))))))))))</f>
        <v>A</v>
      </c>
      <c r="AK272" s="488" t="str">
        <f>IF(K264=3,K14,IF(O264=3,O14,IF(S264=3,S14,IF(W264=3,W14,IF(AA264=3,AA14,IF(AE264=3,AE14,IF(AI264=3,AI14,IF(AM264=3,AM14,IF(AQ264=3,AQ14,IF(AU264=3,AU14,IF(AY264=3,AY14,IF(BC264=3,BC14,""))))))))))))</f>
        <v>Gianni</v>
      </c>
      <c r="AL272" s="489"/>
      <c r="AM272" s="490"/>
      <c r="AN272" s="387">
        <f>IF($K264=3,$N257,IF($O264=3,$R257,IF($S264=3,$V257,IF($W264=3,$Z257,IF($AA264=3,$AD257,IF($AE264=3,$AH257,IF($AI264=3,$AL257,IF($AM264=3,$AP257,IF($AQ264=3,$AT257,IF($AU264=3,$AX257,IF($AY264=3,$BB257,IF($BC264=3,$BF257,""))))))))))))</f>
        <v>630</v>
      </c>
    </row>
    <row r="273" spans="11:40" x14ac:dyDescent="0.3">
      <c r="K273" s="56" t="s">
        <v>217</v>
      </c>
      <c r="L273" s="57" t="str">
        <f>IF(K261=4,K13,IF(O261=4,O13,IF(S261=4,S13,IF(W261=4,W13,IF(AA261=4,AA13,IF(AE261=4,AE13,IF(AI261=4,AI13,IF(AM261=4,AM13,IF(AQ261=4,AQ13,IF(AU261=4,AU13,IF(AY261=4,AY13,IF(BC261=4,BC13,""))))))))))))</f>
        <v>H</v>
      </c>
      <c r="M273" s="584" t="str">
        <f>IF(K261=4,K14,IF(O261=4,O14,IF(S261=4,S14,IF(W261=4,W14,IF(AA261=4,AA14,IF(AE261=4,AE14,IF(AI261=4,AI14,IF(AM261=4,AM14,IF(AQ261=4,AQ14,IF(AU261=4,AU14,IF(AY261=4,AY14,IF(BC261=4,BC14,""))))))))))))</f>
        <v>Gianluca</v>
      </c>
      <c r="N273" s="585"/>
      <c r="O273" s="586"/>
      <c r="P273" s="58">
        <f>IF($K261=4,$K254,IF($O261=4,$O254,IF($S261=4,$S254,IF($W261=4,$W254,IF($AA261=4,$AA254,IF($AE261=4,$AE254,IF($AI261=4,$AI254,IF($AM261=4,$AM254,IF($AQ261=4,$AQ254,IF($AU261=4,$AU254,IF($AY261=4,$AY254,IF($BC261=4,$BC254,""))))))))))))</f>
        <v>819</v>
      </c>
      <c r="S273" s="65" t="s">
        <v>217</v>
      </c>
      <c r="T273" s="66" t="str">
        <f>IF(K262=4,K13,IF(O262=4,O13,IF(S262=4,S13,IF(W262=4,W13,IF(AA262=4,AA13,IF(AE262=4,AE13,IF(AI262=4,AI13,IF(AM262=4,AM13,IF(AQ262=4,AQ13,IF(AU262=4,AU13,IF(AY262=4,AY13,IF(BC262=4,BC13,""))))))))))))</f>
        <v>F</v>
      </c>
      <c r="U273" s="596" t="str">
        <f>IF(K262=4,K14,IF(O262=4,O14,IF(S262=4,S14,IF(W262=4,W14,IF(AA262=4,AA14,IF(AE262=4,AE14,IF(AI262=4,AI14,IF(AM262=4,AM14,IF(AQ262=4,AQ14,IF(AU262=4,AU14,IF(AY262=4,AY14,IF(BC262=4,BC14,""))))))))))))</f>
        <v>Camila</v>
      </c>
      <c r="V273" s="597"/>
      <c r="W273" s="598"/>
      <c r="X273" s="67">
        <f>IF($K262=4,$L255,IF($O262=4,$P255,IF($S262=4,$T255,IF($W262=4,$X255,IF($AA262=4,$AB255,IF($AE262=4,$AF255,IF($AI262=4,$AJ255,IF($AM262=4,$AN255,IF($AQ262=4,$AR255,IF($AU262=4,$AV255,IF($AY262=4,$AZ255,IF($BC262=4,$BD255,""))))))))))))</f>
        <v>620.89595375722547</v>
      </c>
      <c r="AA273" s="74" t="s">
        <v>217</v>
      </c>
      <c r="AB273" s="75" t="str">
        <f>IF(K263=4,K13,IF(O263=4,O13,IF(S263=4,S13,IF(W263=4,W13,IF(AA263=4,AA13,IF(AE263=4,AE13,IF(AI263=4,AI13,IF(AM263=4,AM13,IF(AQ263=4,AQ13,IF(AU263=4,AU13,IF(AY263=4,AY13,IF(BC263=4,BC13,""))))))))))))</f>
        <v>D</v>
      </c>
      <c r="AC273" s="548" t="str">
        <f>IF(K263=4,K14,IF(O263=4,O14,IF(S263=4,S14,IF(W263=4,W14,IF(AA263=4,AA14,IF(AE263=4,AE14,IF(AI263=4,AI14,IF(AM263=4,AM14,IF(AQ263=4,AQ14,IF(AU263=4,AU14,IF(AY263=4,AY14,IF(BC263=4,BC14,""))))))))))))</f>
        <v>Alberto</v>
      </c>
      <c r="AD273" s="549"/>
      <c r="AE273" s="550"/>
      <c r="AF273" s="76">
        <f>IF($K263=4,$M256,IF($O263=4,$Q256,IF($S263=4,$U256,IF($W263=4,$Y256,IF($AA263=4,$AC256,IF($AE263=4,$AG256,IF($AI263=4,$AK256,IF($AM263=4,$AO256,IF($AQ263=4,$AS256,IF($AU263=4,$AW256,IF($AY263=4,$BA256,IF($BC263=4,$BE256,""))))))))))))</f>
        <v>588</v>
      </c>
      <c r="AI273" s="187" t="s">
        <v>217</v>
      </c>
      <c r="AJ273" s="188" t="str">
        <f>IF(K264=4,K13,IF(O264=4,O13,IF(S264=4,S13,IF(W264=4,W13,IF(AA264=4,AA13,IF(AE264=4,AE13,IF(AI264=4,AI13,IF(AM264=4,AM13,IF(AQ264=4,AQ13,IF(AU264=4,AU13,IF(AY264=4,AY13,IF(BC264=4,BC13,""))))))))))))</f>
        <v>K</v>
      </c>
      <c r="AK273" s="488" t="str">
        <f>IF(K264=4,K14,IF(O264=4,O14,IF(S264=4,S14,IF(W264=4,W14,IF(AA264=4,AA14,IF(AE264=4,AE14,IF(AI264=4,AI14,IF(AM264=4,AM14,IF(AQ264=4,AQ14,IF(AU264=4,AU14,IF(AY264=4,AY14,IF(BC264=4,BC14,""))))))))))))</f>
        <v>Magda</v>
      </c>
      <c r="AL273" s="489"/>
      <c r="AM273" s="490"/>
      <c r="AN273" s="387">
        <f>IF($K264=4,$N257,IF($O264=4,$R257,IF($S264=4,$V257,IF($W264=4,$Z257,IF($AA264=4,$AD257,IF($AE264=4,$AH257,IF($AI264=4,$AL257,IF($AM264=4,$AP257,IF($AQ264=4,$AT257,IF($AU264=4,$AX257,IF($AY264=4,$BB257,IF($BC264=4,$BF257,""))))))))))))</f>
        <v>586.76470588235293</v>
      </c>
    </row>
    <row r="274" spans="11:40" ht="14.5" thickBot="1" x14ac:dyDescent="0.35">
      <c r="K274" s="59" t="s">
        <v>218</v>
      </c>
      <c r="L274" s="60" t="str">
        <f>IF(K261=5,K13,IF(O261=5,O13,IF(S261=5,S13,IF(W261=5,W13,IF(AA261=5,AA13,IF(AE261=5,AE13,IF(AI261=5,AI13,IF(AM261=5,AM13,IF(AQ261=5,AQ13,IF(AU261=5,AU13,IF(AY261=5,AY13,IF(BC261=5,BC13,""))))))))))))</f>
        <v>E</v>
      </c>
      <c r="M274" s="587" t="str">
        <f>IF(K261=5,K14,IF(O261=5,O14,IF(S261=5,S14,IF(W261=5,W14,IF(AA261=5,AA14,IF(AE261=5,AE14,IF(AI261=5,AI14,IF(AM261=5,AM14,IF(AQ261=5,AQ14,IF(AU261=5,AU14,IF(AY261=5,AY14,IF(BC261=5,BC14,""))))))))))))</f>
        <v>Stefano</v>
      </c>
      <c r="N274" s="588"/>
      <c r="O274" s="589"/>
      <c r="P274" s="61">
        <f>IF($K261=5,$K254,IF($O261=5,$O254,IF($S261=5,$S254,IF($W261=5,$W254,IF($AA261=5,$AA254,IF($AE261=5,$AE254,IF($AI261=5,$AI254,IF($AM261=5,$AM254,IF($AQ261=5,$AQ254,IF($AU261=5,$AU254,IF($AY261=5,$AY254,IF($BC261=5,$BC254,""))))))))))))</f>
        <v>756</v>
      </c>
      <c r="S274" s="65" t="s">
        <v>218</v>
      </c>
      <c r="T274" s="66" t="str">
        <f>IF(K262=5,K13,IF(O262=5,O13,IF(S262=5,S13,IF(W262=5,W13,IF(AA262=5,AA13,IF(AE262=5,AE13,IF(AI262=5,AI13,IF(AM262=5,AM13,IF(AQ262=5,AQ13,IF(AU262=5,AU13,IF(AY262=5,AY13,IF(BC262=5,BC13,""))))))))))))</f>
        <v>J</v>
      </c>
      <c r="U274" s="596" t="str">
        <f>IF(K262=5,K14,IF(O262=5,O14,IF(S262=5,S14,IF(W262=5,W14,IF(AA262=5,AA14,IF(AE262=5,AE14,IF(AI262=5,AI14,IF(AM262=5,AM14,IF(AQ262=5,AQ14,IF(AU262=5,AU14,IF(AY262=5,AY14,IF(BC262=5,BC14,""))))))))))))</f>
        <v>Emma</v>
      </c>
      <c r="V274" s="597"/>
      <c r="W274" s="598"/>
      <c r="X274" s="67">
        <f>IF($K262=5,$L255,IF($O262=5,$P255,IF($S262=5,$T255,IF($W262=5,$X255,IF($AA262=5,$AB255,IF($AE262=5,$AF255,IF($AI262=5,$AJ255,IF($AM262=5,$AN255,IF($AQ262=5,$AR255,IF($AU262=5,$AV255,IF($AY262=5,$AZ255,IF($BC262=5,$BD255,""))))))))))))</f>
        <v>210</v>
      </c>
      <c r="AA274" s="74" t="s">
        <v>218</v>
      </c>
      <c r="AB274" s="75" t="str">
        <f>IF(K263=5,K13,IF(O263=5,O13,IF(S263=5,S13,IF(W263=5,W13,IF(AA263=5,AA13,IF(AE263=5,AE13,IF(AI263=5,AI13,IF(AM263=5,AM13,IF(AQ263=5,AQ13,IF(AU263=5,AU13,IF(AY263=5,AY13,IF(BC263=5,BC13,""))))))))))))</f>
        <v>B</v>
      </c>
      <c r="AC274" s="548" t="str">
        <f>IF(K263=5,K14,IF(O263=5,O14,IF(S263=5,S14,IF(W263=5,W14,IF(AA263=5,AA14,IF(AE263=5,AE14,IF(AI263=5,AI14,IF(AM263=5,AM14,IF(AQ263=5,AQ14,IF(AU263=5,AU14,IF(AY263=5,AY14,IF(BC263=5,BC14,""))))))))))))</f>
        <v>Pietro</v>
      </c>
      <c r="AD274" s="549"/>
      <c r="AE274" s="550"/>
      <c r="AF274" s="76">
        <f>IF($K263=5,$M256,IF($O263=5,$Q256,IF($S263=5,$U256,IF($W263=5,$Y256,IF($AA263=5,$AC256,IF($AE263=5,$AG256,IF($AI263=5,$AK256,IF($AM263=5,$AO256,IF($AQ263=5,$AS256,IF($AU263=5,$AW256,IF($AY263=5,$BA256,IF($BC263=5,$BE256,""))))))))))))</f>
        <v>210</v>
      </c>
      <c r="AI274" s="187" t="s">
        <v>218</v>
      </c>
      <c r="AJ274" s="188" t="str">
        <f>IF(K264=5,K13,IF(O264=5,O13,IF(S264=5,S13,IF(W264=5,W13,IF(AA264=5,AA13,IF(AE264=5,AE13,IF(AI264=5,AI13,IF(AM264=5,AM13,IF(AQ264=5,AQ13,IF(AU264=5,AU13,IF(AY264=5,AY13,IF(BC264=5,BC13,""))))))))))))</f>
        <v>C</v>
      </c>
      <c r="AK274" s="488" t="str">
        <f>IF(K264=5,K14,IF(O264=5,O14,IF(S264=5,S14,IF(W264=5,W14,IF(AA264=5,AA14,IF(AE264=5,AE14,IF(AI264=5,AI14,IF(AM264=5,AM14,IF(AQ264=5,AQ14,IF(AU264=5,AU14,IF(AY264=5,AY14,IF(BC264=5,BC14,""))))))))))))</f>
        <v>Matheus</v>
      </c>
      <c r="AL274" s="489"/>
      <c r="AM274" s="490"/>
      <c r="AN274" s="387">
        <f>IF($K264=5,$N257,IF($O264=5,$R257,IF($S264=5,$V257,IF($W264=5,$Z257,IF($AA264=5,$AD257,IF($AE264=5,$AH257,IF($AI264=5,$AL257,IF($AM264=5,$AP257,IF($AQ264=5,$AT257,IF($AU264=5,$AX257,IF($AY264=5,$BB257,IF($BC264=5,$BF257,""))))))))))))</f>
        <v>376.76470588235298</v>
      </c>
    </row>
    <row r="275" spans="11:40" ht="14.5" thickBot="1" x14ac:dyDescent="0.35">
      <c r="L275" s="1"/>
      <c r="M275" s="1"/>
      <c r="N275" s="1"/>
      <c r="S275" s="68" t="s">
        <v>219</v>
      </c>
      <c r="T275" s="69" t="str">
        <f>IF(K262=6,K13,IF(O262=6,O13,IF(S262=6,S13,IF(W262=6,W13,IF(AA262=6,AA13,IF(AE262=6,AE13,IF(AI262=6,AI13,IF(AM262=6,AM13,IF(AQ262=6,AQ13,IF(AU262=6,AU13,IF(AY262=6,AY13,IF(BC262=6,BC13,""))))))))))))</f>
        <v>I</v>
      </c>
      <c r="U275" s="686" t="str">
        <f>IF(K262=6,K14,IF(O262=6,O14,IF(S262=6,S14,IF(W262=6,W14,IF(AA262=6,AA14,IF(AE262=6,AE14,IF(AI262=6,AI14,IF(AM262=6,AM14,IF(AQ262=6,AQ14,IF(AU262=6,AU14,IF(AY262=6,AY14,IF(BC262=6,BC14,""))))))))))))</f>
        <v>Alessandro</v>
      </c>
      <c r="V275" s="687"/>
      <c r="W275" s="688"/>
      <c r="X275" s="70">
        <f>IF($K262=6,$L255,IF($O262=6,$P255,IF($S262=6,$T255,IF($W262=6,$X255,IF($AA262=6,$AB255,IF($AE262=6,$AF255,IF($AI262=6,$AJ255,IF($AM262=6,$AN255,IF($AQ262=6,$AR255,IF($AU262=6,$AV255,IF($AY262=6,$AZ255,IF($BC262=6,$BD255,""))))))))))))</f>
        <v>197.09497206703909</v>
      </c>
      <c r="AA275" s="77" t="s">
        <v>219</v>
      </c>
      <c r="AB275" s="86" t="str">
        <f>IF(K263=6,K13,IF(O263=6,O13,IF(S263=6,S13,IF(W263=6,W13,IF(AA263=6,AA13,IF(AE263=6,AE13,IF(AI263=6,AI13,IF(AM263=6,AM13,IF(AQ263=6,AQ13,IF(AU263=6,AU13,IF(AY263=6,AY13,IF(BC263=6,BC13,""))))))))))))</f>
        <v>H</v>
      </c>
      <c r="AC275" s="551" t="str">
        <f>IF(K263=6,K14,IF(O263=6,O14,IF(S263=6,S14,IF(W263=6,W14,IF(AA263=6,AA14,IF(AE263=6,AE14,IF(AI263=6,AI14,IF(AM263=6,AM14,IF(AQ263=6,AQ14,IF(AU263=6,AU14,IF(AY263=6,AY14,IF(BC263=6,BC14,""))))))))))))</f>
        <v>Gianluca</v>
      </c>
      <c r="AD275" s="552"/>
      <c r="AE275" s="553"/>
      <c r="AF275" s="78">
        <f>IF($K263=6,$M256,IF($O263=6,$Q256,IF($S263=6,$U256,IF($W263=6,$Y256,IF($AA263=6,$AC256,IF($AE263=6,$AG256,IF($AI263=6,$AK256,IF($AM263=6,$AO256,IF($AQ263=6,$AS256,IF($AU263=6,$AW256,IF($AY263=6,$BA256,IF($BC263=6,$BE256,""))))))))))))</f>
        <v>126</v>
      </c>
      <c r="AI275" s="189" t="s">
        <v>219</v>
      </c>
      <c r="AJ275" s="190" t="str">
        <f>IF(K264=6,K13,IF(O264=6,O13,IF(S264=6,S13,IF(W264=6,W13,IF(AA264=6,AA13,IF(AE264=6,AE13,IF(AI264=6,AI13,IF(AM264=6,AM13,IF(AQ264=6,AQ13,IF(AU264=6,AU13,IF(AY264=6,AY13,IF(BC264=6,BC13,""))))))))))))</f>
        <v>E</v>
      </c>
      <c r="AK275" s="491" t="str">
        <f>IF(K264=6,K14,IF(O264=6,O14,IF(S264=6,S14,IF(W264=6,W14,IF(AA264=6,AA14,IF(AE264=6,AE14,IF(AI264=6,AI14,IF(AM264=6,AM14,IF(AQ264=6,AQ14,IF(AU264=6,AU14,IF(AY264=6,AY14,IF(BC264=6,BC14,""))))))))))))</f>
        <v>Stefano</v>
      </c>
      <c r="AL275" s="492"/>
      <c r="AM275" s="493"/>
      <c r="AN275" s="388">
        <f>IF($K264=6,$N257,IF($O264=6,$R257,IF($S264=6,$V257,IF($W264=6,$Z257,IF($AA264=6,$AD257,IF($AE264=6,$AH257,IF($AI264=6,$AL257,IF($AM264=6,$AP257,IF($AQ264=6,$AT257,IF($AU264=6,$AX257,IF($AY264=6,$BB257,IF($BC264=6,$BF257,""))))))))))))</f>
        <v>302.64705882352939</v>
      </c>
    </row>
    <row r="276" spans="11:40" x14ac:dyDescent="0.3">
      <c r="K276"/>
    </row>
    <row r="277" spans="11:40" x14ac:dyDescent="0.3">
      <c r="K277"/>
    </row>
    <row r="278" spans="11:40" x14ac:dyDescent="0.3">
      <c r="K278"/>
    </row>
    <row r="279" spans="11:40" x14ac:dyDescent="0.3">
      <c r="K279"/>
    </row>
    <row r="280" spans="11:40" x14ac:dyDescent="0.3">
      <c r="K280"/>
    </row>
    <row r="281" spans="11:40" x14ac:dyDescent="0.3">
      <c r="K281"/>
    </row>
    <row r="282" spans="11:40" x14ac:dyDescent="0.3">
      <c r="K282"/>
    </row>
    <row r="283" spans="11:40" x14ac:dyDescent="0.3">
      <c r="K283"/>
    </row>
    <row r="284" spans="11:40" x14ac:dyDescent="0.3">
      <c r="K284"/>
    </row>
    <row r="285" spans="11:40" x14ac:dyDescent="0.3">
      <c r="K285"/>
    </row>
    <row r="286" spans="11:40" x14ac:dyDescent="0.3">
      <c r="K286"/>
    </row>
    <row r="287" spans="11:40" x14ac:dyDescent="0.3">
      <c r="K287"/>
    </row>
    <row r="288" spans="11:40" x14ac:dyDescent="0.3">
      <c r="K288"/>
    </row>
    <row r="289" spans="2:58" x14ac:dyDescent="0.3">
      <c r="K289"/>
    </row>
    <row r="290" spans="2:58" x14ac:dyDescent="0.3">
      <c r="K290"/>
    </row>
    <row r="291" spans="2:58" x14ac:dyDescent="0.3">
      <c r="K291"/>
    </row>
    <row r="292" spans="2:58" x14ac:dyDescent="0.3">
      <c r="K292"/>
    </row>
    <row r="293" spans="2:58" ht="14.5" thickBot="1" x14ac:dyDescent="0.35">
      <c r="K293"/>
    </row>
    <row r="294" spans="2:58" ht="29" customHeight="1" thickBot="1" x14ac:dyDescent="0.35">
      <c r="B294" s="813" t="s">
        <v>236</v>
      </c>
      <c r="C294" s="814"/>
      <c r="D294" s="814"/>
      <c r="E294" s="814"/>
      <c r="F294" s="814"/>
      <c r="G294" s="814"/>
      <c r="H294" s="814"/>
      <c r="I294" s="814"/>
      <c r="J294" s="814"/>
      <c r="K294" s="814"/>
      <c r="L294" s="814"/>
      <c r="M294" s="814"/>
      <c r="N294" s="814"/>
      <c r="O294" s="814"/>
      <c r="P294" s="814"/>
      <c r="Q294" s="814"/>
      <c r="R294" s="814"/>
      <c r="S294" s="814"/>
      <c r="T294" s="814"/>
      <c r="U294" s="814"/>
      <c r="V294" s="814"/>
      <c r="W294" s="814"/>
      <c r="X294" s="814"/>
      <c r="Y294" s="814"/>
      <c r="Z294" s="814"/>
      <c r="AA294" s="814"/>
      <c r="AB294" s="814"/>
      <c r="AC294" s="814"/>
      <c r="AD294" s="814"/>
      <c r="AE294" s="814"/>
      <c r="AF294" s="814"/>
      <c r="AG294" s="814"/>
      <c r="AH294" s="814"/>
      <c r="AI294" s="814"/>
      <c r="AJ294" s="814"/>
      <c r="AK294" s="814"/>
      <c r="AL294" s="814"/>
      <c r="AM294" s="814"/>
      <c r="AN294" s="814"/>
      <c r="AO294" s="814"/>
      <c r="AP294" s="814"/>
      <c r="AQ294" s="814"/>
      <c r="AR294" s="814"/>
      <c r="AS294" s="814"/>
      <c r="AT294" s="814"/>
      <c r="AU294" s="814"/>
      <c r="AV294" s="814"/>
      <c r="AW294" s="814"/>
      <c r="AX294" s="814"/>
      <c r="AY294" s="814"/>
      <c r="AZ294" s="814"/>
      <c r="BA294" s="814"/>
      <c r="BB294" s="814"/>
      <c r="BC294" s="814"/>
      <c r="BD294" s="814"/>
      <c r="BE294" s="814"/>
      <c r="BF294" s="815"/>
    </row>
    <row r="295" spans="2:58" s="6" customFormat="1" ht="19.5" customHeight="1" x14ac:dyDescent="0.3">
      <c r="B295" s="742" t="s">
        <v>236</v>
      </c>
      <c r="C295" s="627" t="s">
        <v>149</v>
      </c>
      <c r="D295" s="628"/>
      <c r="E295" s="628"/>
      <c r="F295" s="628"/>
      <c r="G295" s="628"/>
      <c r="H295" s="628"/>
      <c r="I295" s="628"/>
      <c r="J295" s="629"/>
      <c r="K295" s="392">
        <f>IF(K179&lt;=5,1260 + K254 - K161/1000,K165)</f>
        <v>671.51700000000005</v>
      </c>
      <c r="L295" s="393"/>
      <c r="M295" s="393"/>
      <c r="N295" s="394"/>
      <c r="O295" s="402">
        <f>IF(O179&lt;=5,1260 + O254 - O161/1000,O165)</f>
        <v>2141.982</v>
      </c>
      <c r="P295" s="393"/>
      <c r="Q295" s="393"/>
      <c r="R295" s="394"/>
      <c r="S295" s="392">
        <f>IF(S179&lt;=5,1260 + S254 - S161/1000,S165)</f>
        <v>356.16</v>
      </c>
      <c r="T295" s="393"/>
      <c r="U295" s="393"/>
      <c r="V295" s="394"/>
      <c r="W295" s="392">
        <f>IF(W179&lt;=5,1260 + W254 - W161/1000,W165)</f>
        <v>545.37</v>
      </c>
      <c r="X295" s="393"/>
      <c r="Y295" s="393"/>
      <c r="Z295" s="394"/>
      <c r="AA295" s="392">
        <f>IF(AA179&lt;=5,1260 + AA254 - AA161/1000,AA165)</f>
        <v>2015.9780000000001</v>
      </c>
      <c r="AB295" s="393"/>
      <c r="AC295" s="393"/>
      <c r="AD295" s="394"/>
      <c r="AE295" s="403">
        <f>IF(AE179&lt;=5,1260 + AE254 - AE161/1000,AE165)</f>
        <v>314.24400000000003</v>
      </c>
      <c r="AF295" s="393"/>
      <c r="AG295" s="393"/>
      <c r="AH295" s="394"/>
      <c r="AI295" s="403">
        <f>IF(AI179&lt;=5,1260 + AI254 - AI161/1000,AI165)</f>
        <v>167.18100000000001</v>
      </c>
      <c r="AJ295" s="393"/>
      <c r="AK295" s="393"/>
      <c r="AL295" s="394"/>
      <c r="AM295" s="403">
        <f>IF(AM179&lt;=5,1260 + AM254 - AM161/1000,AM165)</f>
        <v>2078.9859999999999</v>
      </c>
      <c r="AN295" s="393"/>
      <c r="AO295" s="393"/>
      <c r="AP295" s="394"/>
      <c r="AQ295" s="403">
        <f>IF(AQ179&lt;=5,1260 + AQ254 - AQ161/1000,AQ165)</f>
        <v>2393.98</v>
      </c>
      <c r="AR295" s="393"/>
      <c r="AS295" s="393"/>
      <c r="AT295" s="394"/>
      <c r="AU295" s="403">
        <f>IF(AU179&lt;=5,1260 + AU254 - AU161/1000,AU165)</f>
        <v>461.41200000000003</v>
      </c>
      <c r="AV295" s="393"/>
      <c r="AW295" s="393"/>
      <c r="AX295" s="394"/>
      <c r="AY295" s="403">
        <f>IF(AY179&lt;=5,1260 + AY254 - AY161/1000,AY165)</f>
        <v>566.30700000000002</v>
      </c>
      <c r="AZ295" s="393"/>
      <c r="BA295" s="393"/>
      <c r="BB295" s="394"/>
      <c r="BC295" s="403">
        <f>IF(BC179&lt;=5,1260 + BC254 - BC161/1000,BC165)</f>
        <v>2456.9830000000002</v>
      </c>
      <c r="BD295" s="393"/>
      <c r="BE295" s="393"/>
      <c r="BF295" s="394"/>
    </row>
    <row r="296" spans="2:58" s="6" customFormat="1" ht="19.5" customHeight="1" x14ac:dyDescent="0.3">
      <c r="B296" s="743"/>
      <c r="C296" s="630" t="s">
        <v>150</v>
      </c>
      <c r="D296" s="631"/>
      <c r="E296" s="631"/>
      <c r="F296" s="631"/>
      <c r="G296" s="631"/>
      <c r="H296" s="631"/>
      <c r="I296" s="631"/>
      <c r="J296" s="632"/>
      <c r="K296" s="395"/>
      <c r="L296" s="396">
        <f>IF(K180&lt;=6,1260 + L255,L166)</f>
        <v>2520</v>
      </c>
      <c r="M296" s="397"/>
      <c r="N296" s="398"/>
      <c r="O296" s="395"/>
      <c r="P296" s="396">
        <f>IF(O180&lt;=6,1260 + P255,P166)</f>
        <v>724.53883975623478</v>
      </c>
      <c r="Q296" s="397"/>
      <c r="R296" s="398"/>
      <c r="S296" s="395"/>
      <c r="T296" s="396">
        <f>IF(S180&lt;=6,1260 + T255,T166)</f>
        <v>654.12658143263161</v>
      </c>
      <c r="U296" s="397"/>
      <c r="V296" s="398"/>
      <c r="W296" s="395"/>
      <c r="X296" s="396">
        <f>IF(W180&lt;=6,1260 + X255,X166)</f>
        <v>622.89506081538332</v>
      </c>
      <c r="Y296" s="397"/>
      <c r="Z296" s="398"/>
      <c r="AA296" s="395"/>
      <c r="AB296" s="396">
        <f>IF(AA180&lt;=6,1260 + AB255,AB166)</f>
        <v>2372.086956521739</v>
      </c>
      <c r="AC296" s="397"/>
      <c r="AD296" s="398"/>
      <c r="AE296" s="395"/>
      <c r="AF296" s="396">
        <f>IF(AE180&lt;=6,1260 + AF255,AF166)</f>
        <v>1880.8959537572255</v>
      </c>
      <c r="AG296" s="397"/>
      <c r="AH296" s="398"/>
      <c r="AI296" s="395"/>
      <c r="AJ296" s="396">
        <f>IF(AI180&lt;=6,1260 + AJ255,AJ166)</f>
        <v>737.61497179673108</v>
      </c>
      <c r="AK296" s="397"/>
      <c r="AL296" s="398"/>
      <c r="AM296" s="395"/>
      <c r="AN296" s="396">
        <f>IF(AM180&lt;=6,1260 + AN255,AN166)</f>
        <v>626.51677497358287</v>
      </c>
      <c r="AO296" s="397"/>
      <c r="AP296" s="398"/>
      <c r="AQ296" s="395"/>
      <c r="AR296" s="396">
        <f>IF(AQ180&lt;=6,1260 + AR255,AR166)</f>
        <v>1457.0949720670392</v>
      </c>
      <c r="AS296" s="397"/>
      <c r="AT296" s="398"/>
      <c r="AU296" s="395"/>
      <c r="AV296" s="396">
        <f>IF(AU180&lt;=6,1260 + AV255,AV166)</f>
        <v>1470</v>
      </c>
      <c r="AW296" s="397"/>
      <c r="AX296" s="398"/>
      <c r="AY296" s="395"/>
      <c r="AZ296" s="396">
        <f>IF(AY180&lt;=6,1260 + AZ255,AZ166)</f>
        <v>728.79167911430011</v>
      </c>
      <c r="BA296" s="397"/>
      <c r="BB296" s="398"/>
      <c r="BC296" s="395"/>
      <c r="BD296" s="396">
        <f>IF(BC180&lt;=6,1260 + BD255,BD166)</f>
        <v>1890</v>
      </c>
      <c r="BE296" s="397"/>
      <c r="BF296" s="398"/>
    </row>
    <row r="297" spans="2:58" s="6" customFormat="1" ht="19.5" customHeight="1" x14ac:dyDescent="0.3">
      <c r="B297" s="743"/>
      <c r="C297" s="518" t="s">
        <v>151</v>
      </c>
      <c r="D297" s="519"/>
      <c r="E297" s="519"/>
      <c r="F297" s="519"/>
      <c r="G297" s="519"/>
      <c r="H297" s="519"/>
      <c r="I297" s="519"/>
      <c r="J297" s="520"/>
      <c r="K297" s="395"/>
      <c r="L297" s="397"/>
      <c r="M297" s="399">
        <f>IF(K181&lt;=6,1260 + M256 - M161/1000,M167)</f>
        <v>599.49</v>
      </c>
      <c r="N297" s="398"/>
      <c r="O297" s="395"/>
      <c r="P297" s="397"/>
      <c r="Q297" s="399">
        <f>IF(O181&lt;=6,1260 + Q256 - Q161/1000,Q167)</f>
        <v>1469.98</v>
      </c>
      <c r="R297" s="398"/>
      <c r="S297" s="395"/>
      <c r="T297" s="397"/>
      <c r="U297" s="399">
        <f>IF(S181&lt;=6,1260 + U256 - U161/1000,U167)</f>
        <v>479.15999999999997</v>
      </c>
      <c r="V297" s="398"/>
      <c r="W297" s="395"/>
      <c r="X297" s="397"/>
      <c r="Y297" s="399">
        <f>IF(W181&lt;=6,1260 + Y256 - Y161/1000,Y167)</f>
        <v>1847.96</v>
      </c>
      <c r="Z297" s="398"/>
      <c r="AA297" s="395"/>
      <c r="AB297" s="397"/>
      <c r="AC297" s="399">
        <f>IF(AA181&lt;=6,1260 + AC256 - AC161/1000,AC167)</f>
        <v>2519.9780000000001</v>
      </c>
      <c r="AD297" s="398"/>
      <c r="AE297" s="395"/>
      <c r="AF297" s="397"/>
      <c r="AG297" s="399">
        <f>IF(AE181&lt;=6,1260 + AG256 - AG161/1000,AG167)</f>
        <v>299.15999999999997</v>
      </c>
      <c r="AH297" s="398"/>
      <c r="AI297" s="395"/>
      <c r="AJ297" s="397"/>
      <c r="AK297" s="399">
        <f>IF(AI181&lt;=6,1260 + AK256 - AK161/1000,AK167)</f>
        <v>494.32499999999999</v>
      </c>
      <c r="AL297" s="398"/>
      <c r="AM297" s="395"/>
      <c r="AN297" s="397"/>
      <c r="AO297" s="399">
        <f>IF(AM181&lt;=6,1260 + AO256 - AO161/1000,AO167)</f>
        <v>1385.9690000000001</v>
      </c>
      <c r="AP297" s="398"/>
      <c r="AQ297" s="395"/>
      <c r="AR297" s="397"/>
      <c r="AS297" s="399">
        <f>IF(AQ181&lt;=6,1260 + AS256 - AS161/1000,AS167)</f>
        <v>1889.9649999999999</v>
      </c>
      <c r="AT297" s="398"/>
      <c r="AU297" s="395"/>
      <c r="AV297" s="397"/>
      <c r="AW297" s="399">
        <f>IF(AU181&lt;=6,1260 + AW256 - AW161/1000,AW167)</f>
        <v>209.16000000000003</v>
      </c>
      <c r="AX297" s="398"/>
      <c r="AY297" s="395"/>
      <c r="AZ297" s="397"/>
      <c r="BA297" s="399">
        <f>IF(AY181&lt;=6,1260 + BA256 - BA161/1000,BA167)</f>
        <v>344.23500000000001</v>
      </c>
      <c r="BB297" s="398"/>
      <c r="BC297" s="395"/>
      <c r="BD297" s="397"/>
      <c r="BE297" s="399">
        <f>IF(BC181&lt;=6,1260 + BE256 - BE161/1000,BE167)</f>
        <v>2288.971</v>
      </c>
      <c r="BF297" s="398"/>
    </row>
    <row r="298" spans="2:58" s="6" customFormat="1" ht="19.5" customHeight="1" thickBot="1" x14ac:dyDescent="0.35">
      <c r="B298" s="743"/>
      <c r="C298" s="518" t="s">
        <v>314</v>
      </c>
      <c r="D298" s="519"/>
      <c r="E298" s="519"/>
      <c r="F298" s="519"/>
      <c r="G298" s="519"/>
      <c r="H298" s="519"/>
      <c r="I298" s="519"/>
      <c r="J298" s="520"/>
      <c r="K298" s="400"/>
      <c r="L298" s="401"/>
      <c r="M298" s="401"/>
      <c r="N298" s="415">
        <f>IF(K182&lt;=6,1260 + N257 - N162/1000,N168)</f>
        <v>1889.9448109594646</v>
      </c>
      <c r="O298" s="400"/>
      <c r="P298" s="401"/>
      <c r="Q298" s="401"/>
      <c r="R298" s="415">
        <f>IF(O182&lt;=6,1260 + R257 - R162/1000,R168)</f>
        <v>646.46249999999998</v>
      </c>
      <c r="S298" s="400"/>
      <c r="T298" s="401"/>
      <c r="U298" s="401"/>
      <c r="V298" s="415">
        <f>IF(S182&lt;=6,1260 + V257 - V162/1000,V168)</f>
        <v>1636.7127533368985</v>
      </c>
      <c r="W298" s="400"/>
      <c r="X298" s="401"/>
      <c r="Y298" s="401"/>
      <c r="Z298" s="415">
        <f>IF(W182&lt;=6,1260 + Z257 - Z162/1000,Z168)</f>
        <v>2519.9440437972539</v>
      </c>
      <c r="AA298" s="400"/>
      <c r="AB298" s="401"/>
      <c r="AC298" s="401"/>
      <c r="AD298" s="415">
        <f>IF(AA182&lt;=6,1260 + AD257 - AD162/1000,AD168)</f>
        <v>1562.5936042053474</v>
      </c>
      <c r="AE298" s="400"/>
      <c r="AF298" s="401"/>
      <c r="AG298" s="401"/>
      <c r="AH298" s="415">
        <f>IF(AE182&lt;=6,1260 + AH257 - AH162/1000,AH168)</f>
        <v>736.46095502044534</v>
      </c>
      <c r="AI298" s="400"/>
      <c r="AJ298" s="401"/>
      <c r="AK298" s="401"/>
      <c r="AL298" s="415">
        <f>IF(AI182&lt;=6,1260 + AL257 - AL162/1000,AL168)</f>
        <v>723.83381827209541</v>
      </c>
      <c r="AM298" s="400"/>
      <c r="AN298" s="401"/>
      <c r="AO298" s="401"/>
      <c r="AP298" s="415">
        <f>IF(AM182&lt;=6,1260 + AP257 - AP162/1000,AP168)</f>
        <v>648.73254990118573</v>
      </c>
      <c r="AQ298" s="400"/>
      <c r="AR298" s="401"/>
      <c r="AS298" s="401"/>
      <c r="AT298" s="415">
        <f>IF(AQ182&lt;=6,1260 + AT257 - AT162/1000,AT168)</f>
        <v>2489.0632487810458</v>
      </c>
      <c r="AU298" s="400"/>
      <c r="AV298" s="401"/>
      <c r="AW298" s="401"/>
      <c r="AX298" s="415">
        <f>IF(AU182&lt;=6,1260 + AX257 - AX162/1000,AX168)</f>
        <v>598.97818181818184</v>
      </c>
      <c r="AY298" s="400"/>
      <c r="AZ298" s="401"/>
      <c r="BA298" s="401"/>
      <c r="BB298" s="415">
        <f>IF(AY182&lt;=6,1260 + BB257 - BB162/1000,BB168)</f>
        <v>1846.7116028938738</v>
      </c>
      <c r="BC298" s="400"/>
      <c r="BD298" s="401"/>
      <c r="BE298" s="401"/>
      <c r="BF298" s="415">
        <f>IF(BC182&lt;=6,1260 + BF257 - BF162/1000,BF168)</f>
        <v>742.14516152639555</v>
      </c>
    </row>
    <row r="299" spans="2:58" ht="22.5" customHeight="1" thickBot="1" x14ac:dyDescent="0.35">
      <c r="B299" s="743"/>
      <c r="C299" s="633" t="s">
        <v>155</v>
      </c>
      <c r="D299" s="634"/>
      <c r="E299" s="634"/>
      <c r="F299" s="634"/>
      <c r="G299" s="634"/>
      <c r="H299" s="634"/>
      <c r="I299" s="634"/>
      <c r="J299" s="635"/>
      <c r="K299" s="524">
        <f t="shared" ref="K299" si="262">K295+L296+M297+N298</f>
        <v>5680.9518109594646</v>
      </c>
      <c r="L299" s="501"/>
      <c r="M299" s="501"/>
      <c r="N299" s="502"/>
      <c r="O299" s="500">
        <f t="shared" ref="O299" si="263">O295+P296+Q297+R298</f>
        <v>4982.9633397562338</v>
      </c>
      <c r="P299" s="501"/>
      <c r="Q299" s="501"/>
      <c r="R299" s="502"/>
      <c r="S299" s="500">
        <f t="shared" ref="S299" si="264">S295+T296+U297+V298</f>
        <v>3126.1593347695302</v>
      </c>
      <c r="T299" s="501"/>
      <c r="U299" s="501"/>
      <c r="V299" s="502"/>
      <c r="W299" s="500">
        <f t="shared" ref="W299" si="265">W295+X296+Y297+Z298</f>
        <v>5536.169104612638</v>
      </c>
      <c r="X299" s="501"/>
      <c r="Y299" s="501"/>
      <c r="Z299" s="502"/>
      <c r="AA299" s="500">
        <f t="shared" ref="AA299" si="266">AA295+AB296+AC297+AD298</f>
        <v>8470.6365607270873</v>
      </c>
      <c r="AB299" s="501"/>
      <c r="AC299" s="501"/>
      <c r="AD299" s="502"/>
      <c r="AE299" s="500">
        <f t="shared" ref="AE299" si="267">AE295+AF296+AG297+AH298</f>
        <v>3230.7609087776709</v>
      </c>
      <c r="AF299" s="501"/>
      <c r="AG299" s="501"/>
      <c r="AH299" s="502"/>
      <c r="AI299" s="500">
        <f t="shared" ref="AI299" si="268">AI295+AJ296+AK297+AL298</f>
        <v>2122.9547900688267</v>
      </c>
      <c r="AJ299" s="501"/>
      <c r="AK299" s="501"/>
      <c r="AL299" s="502"/>
      <c r="AM299" s="500">
        <f t="shared" ref="AM299" si="269">AM295+AN296+AO297+AP298</f>
        <v>4740.2043248747686</v>
      </c>
      <c r="AN299" s="501"/>
      <c r="AO299" s="501"/>
      <c r="AP299" s="502"/>
      <c r="AQ299" s="500">
        <f t="shared" ref="AQ299" si="270">AQ295+AR296+AS297+AT298</f>
        <v>8230.1032208480847</v>
      </c>
      <c r="AR299" s="501"/>
      <c r="AS299" s="501"/>
      <c r="AT299" s="502"/>
      <c r="AU299" s="500">
        <f t="shared" ref="AU299" si="271">AU295+AV296+AW297+AX298</f>
        <v>2739.550181818182</v>
      </c>
      <c r="AV299" s="501"/>
      <c r="AW299" s="501"/>
      <c r="AX299" s="502"/>
      <c r="AY299" s="500">
        <f t="shared" ref="AY299" si="272">AY295+AZ296+BA297+BB298</f>
        <v>3486.0452820081737</v>
      </c>
      <c r="AZ299" s="501"/>
      <c r="BA299" s="501"/>
      <c r="BB299" s="502"/>
      <c r="BC299" s="511">
        <f>BC295+BD296+BE297+BF298</f>
        <v>7378.0991615263956</v>
      </c>
      <c r="BD299" s="512"/>
      <c r="BE299" s="512"/>
      <c r="BF299" s="512"/>
    </row>
    <row r="300" spans="2:58" x14ac:dyDescent="0.3">
      <c r="B300" s="743"/>
      <c r="C300" s="5"/>
      <c r="D300" s="5"/>
      <c r="E300" s="5"/>
      <c r="F300" s="5"/>
      <c r="G300" s="5"/>
      <c r="H300" s="5"/>
      <c r="I300" s="5"/>
      <c r="J300" s="5"/>
      <c r="K300"/>
    </row>
    <row r="301" spans="2:58" ht="14.5" thickBot="1" x14ac:dyDescent="0.35">
      <c r="B301" s="743"/>
      <c r="C301" s="5"/>
      <c r="D301" s="5"/>
      <c r="E301" s="5"/>
      <c r="F301" s="5"/>
      <c r="G301" s="5"/>
      <c r="H301" s="5"/>
      <c r="I301" s="5"/>
      <c r="J301" s="5"/>
      <c r="K301"/>
    </row>
    <row r="302" spans="2:58" ht="17.5" x14ac:dyDescent="0.3">
      <c r="B302" s="743"/>
      <c r="C302" s="636" t="s">
        <v>144</v>
      </c>
      <c r="D302" s="637"/>
      <c r="E302" s="637"/>
      <c r="F302" s="637"/>
      <c r="G302" s="637"/>
      <c r="H302" s="637"/>
      <c r="I302" s="637"/>
      <c r="J302" s="638"/>
      <c r="K302" s="404">
        <f>K295/2520</f>
        <v>0.26647500000000002</v>
      </c>
      <c r="L302" s="405"/>
      <c r="M302" s="405"/>
      <c r="N302" s="406"/>
      <c r="O302" s="404">
        <f>O295/2520</f>
        <v>0.84999285714285711</v>
      </c>
      <c r="P302" s="405"/>
      <c r="Q302" s="405"/>
      <c r="R302" s="406"/>
      <c r="S302" s="404">
        <f>S295/2520</f>
        <v>0.14133333333333334</v>
      </c>
      <c r="T302" s="405"/>
      <c r="U302" s="405"/>
      <c r="V302" s="406"/>
      <c r="W302" s="404">
        <f>W295/2520</f>
        <v>0.21641666666666667</v>
      </c>
      <c r="X302" s="405"/>
      <c r="Y302" s="405"/>
      <c r="Z302" s="405"/>
      <c r="AA302" s="414">
        <f>AA295/2520</f>
        <v>0.79999126984126989</v>
      </c>
      <c r="AB302" s="405"/>
      <c r="AC302" s="405"/>
      <c r="AD302" s="406"/>
      <c r="AE302" s="404">
        <f>AE295/2520</f>
        <v>0.12470000000000001</v>
      </c>
      <c r="AF302" s="405"/>
      <c r="AG302" s="405"/>
      <c r="AH302" s="406"/>
      <c r="AI302" s="404">
        <f>AI295/2520</f>
        <v>6.6341666666666674E-2</v>
      </c>
      <c r="AJ302" s="405"/>
      <c r="AK302" s="405"/>
      <c r="AL302" s="406"/>
      <c r="AM302" s="404">
        <f>AM295/2520</f>
        <v>0.82499444444444436</v>
      </c>
      <c r="AN302" s="405"/>
      <c r="AO302" s="405"/>
      <c r="AP302" s="406"/>
      <c r="AQ302" s="404">
        <f>AQ295/2520</f>
        <v>0.94999206349206355</v>
      </c>
      <c r="AR302" s="405"/>
      <c r="AS302" s="405"/>
      <c r="AT302" s="406"/>
      <c r="AU302" s="404">
        <f>AU295/2520</f>
        <v>0.18310000000000001</v>
      </c>
      <c r="AV302" s="405"/>
      <c r="AW302" s="405"/>
      <c r="AX302" s="406"/>
      <c r="AY302" s="404">
        <f>AY295/2520</f>
        <v>0.22472500000000001</v>
      </c>
      <c r="AZ302" s="405"/>
      <c r="BA302" s="405"/>
      <c r="BB302" s="406"/>
      <c r="BC302" s="404">
        <f>BC295/2520</f>
        <v>0.97499325396825409</v>
      </c>
      <c r="BD302" s="405"/>
      <c r="BE302" s="405"/>
      <c r="BF302" s="406"/>
    </row>
    <row r="303" spans="2:58" ht="17.5" x14ac:dyDescent="0.3">
      <c r="B303" s="743"/>
      <c r="C303" s="639" t="s">
        <v>145</v>
      </c>
      <c r="D303" s="640"/>
      <c r="E303" s="640"/>
      <c r="F303" s="640"/>
      <c r="G303" s="640"/>
      <c r="H303" s="640"/>
      <c r="I303" s="640"/>
      <c r="J303" s="641"/>
      <c r="K303" s="407"/>
      <c r="L303" s="408">
        <f>L296/2520</f>
        <v>1</v>
      </c>
      <c r="M303" s="409"/>
      <c r="N303" s="410"/>
      <c r="O303" s="407"/>
      <c r="P303" s="408">
        <f>P296/2520</f>
        <v>0.28751541260168045</v>
      </c>
      <c r="Q303" s="409"/>
      <c r="R303" s="410"/>
      <c r="S303" s="407"/>
      <c r="T303" s="408">
        <f>T296/2520</f>
        <v>0.2595740402510443</v>
      </c>
      <c r="U303" s="409"/>
      <c r="V303" s="410"/>
      <c r="W303" s="407"/>
      <c r="X303" s="408">
        <f>X296/2520</f>
        <v>0.24718057968864418</v>
      </c>
      <c r="Y303" s="409"/>
      <c r="Z303" s="410"/>
      <c r="AA303" s="409"/>
      <c r="AB303" s="408">
        <f>AB296/2520</f>
        <v>0.94130434782608696</v>
      </c>
      <c r="AC303" s="409"/>
      <c r="AD303" s="410"/>
      <c r="AE303" s="407"/>
      <c r="AF303" s="408">
        <f>AF296/2520</f>
        <v>0.74638728323699421</v>
      </c>
      <c r="AG303" s="409"/>
      <c r="AH303" s="410"/>
      <c r="AI303" s="407"/>
      <c r="AJ303" s="408">
        <f>AJ296/2520</f>
        <v>0.2927043538875917</v>
      </c>
      <c r="AK303" s="409"/>
      <c r="AL303" s="410"/>
      <c r="AM303" s="407"/>
      <c r="AN303" s="408">
        <f>AN296/2520</f>
        <v>0.24861776784665987</v>
      </c>
      <c r="AO303" s="409"/>
      <c r="AP303" s="410"/>
      <c r="AQ303" s="407"/>
      <c r="AR303" s="408">
        <f>AR296/2520</f>
        <v>0.57821229050279332</v>
      </c>
      <c r="AS303" s="409"/>
      <c r="AT303" s="410"/>
      <c r="AU303" s="407"/>
      <c r="AV303" s="408">
        <f>AV296/2520</f>
        <v>0.58333333333333337</v>
      </c>
      <c r="AW303" s="409"/>
      <c r="AX303" s="410"/>
      <c r="AY303" s="407"/>
      <c r="AZ303" s="408">
        <f>AZ296/2520</f>
        <v>0.28920304726757939</v>
      </c>
      <c r="BA303" s="409"/>
      <c r="BB303" s="410"/>
      <c r="BC303" s="407"/>
      <c r="BD303" s="408">
        <f>BD296/2520</f>
        <v>0.75</v>
      </c>
      <c r="BE303" s="409"/>
      <c r="BF303" s="410"/>
    </row>
    <row r="304" spans="2:58" ht="17.5" x14ac:dyDescent="0.3">
      <c r="B304" s="743"/>
      <c r="C304" s="521" t="s">
        <v>146</v>
      </c>
      <c r="D304" s="522"/>
      <c r="E304" s="522"/>
      <c r="F304" s="522"/>
      <c r="G304" s="522"/>
      <c r="H304" s="522"/>
      <c r="I304" s="522"/>
      <c r="J304" s="523"/>
      <c r="K304" s="407"/>
      <c r="L304" s="409"/>
      <c r="M304" s="411">
        <f>M297/2520</f>
        <v>0.23789285714285716</v>
      </c>
      <c r="N304" s="398"/>
      <c r="O304" s="407"/>
      <c r="P304" s="409"/>
      <c r="Q304" s="411">
        <f>Q297/2520</f>
        <v>0.58332539682539686</v>
      </c>
      <c r="R304" s="398"/>
      <c r="S304" s="407"/>
      <c r="T304" s="409"/>
      <c r="U304" s="411">
        <f>U297/2520</f>
        <v>0.19014285714285714</v>
      </c>
      <c r="V304" s="398"/>
      <c r="W304" s="407"/>
      <c r="X304" s="409"/>
      <c r="Y304" s="411">
        <f>Y297/2520</f>
        <v>0.73331746031746037</v>
      </c>
      <c r="Z304" s="398"/>
      <c r="AA304" s="409"/>
      <c r="AB304" s="409"/>
      <c r="AC304" s="411">
        <f>AC297/2520</f>
        <v>0.99999126984126985</v>
      </c>
      <c r="AD304" s="398"/>
      <c r="AE304" s="407"/>
      <c r="AF304" s="409"/>
      <c r="AG304" s="411">
        <f>AG297/2520</f>
        <v>0.1187142857142857</v>
      </c>
      <c r="AH304" s="398"/>
      <c r="AI304" s="407"/>
      <c r="AJ304" s="409"/>
      <c r="AK304" s="411">
        <f>AK297/2520</f>
        <v>0.19616071428571427</v>
      </c>
      <c r="AL304" s="398"/>
      <c r="AM304" s="407"/>
      <c r="AN304" s="409"/>
      <c r="AO304" s="411">
        <f>AO297/2520</f>
        <v>0.54998769841269846</v>
      </c>
      <c r="AP304" s="398"/>
      <c r="AQ304" s="407"/>
      <c r="AR304" s="409"/>
      <c r="AS304" s="411">
        <f>AS297/2520</f>
        <v>0.74998611111111113</v>
      </c>
      <c r="AT304" s="398"/>
      <c r="AU304" s="407"/>
      <c r="AV304" s="409"/>
      <c r="AW304" s="411">
        <f>AW297/2520</f>
        <v>8.3000000000000004E-2</v>
      </c>
      <c r="AX304" s="398"/>
      <c r="AY304" s="407"/>
      <c r="AZ304" s="409"/>
      <c r="BA304" s="411">
        <f>BA297/2520</f>
        <v>0.13660119047619049</v>
      </c>
      <c r="BB304" s="398"/>
      <c r="BC304" s="407"/>
      <c r="BD304" s="409"/>
      <c r="BE304" s="411">
        <f>BE297/2520</f>
        <v>0.90832182539682538</v>
      </c>
      <c r="BF304" s="398"/>
    </row>
    <row r="305" spans="2:58" ht="18" thickBot="1" x14ac:dyDescent="0.35">
      <c r="B305" s="743"/>
      <c r="C305" s="521" t="s">
        <v>295</v>
      </c>
      <c r="D305" s="522"/>
      <c r="E305" s="522"/>
      <c r="F305" s="522"/>
      <c r="G305" s="522"/>
      <c r="H305" s="522"/>
      <c r="I305" s="522"/>
      <c r="J305" s="523"/>
      <c r="K305" s="412"/>
      <c r="L305" s="413"/>
      <c r="M305" s="401"/>
      <c r="N305" s="416">
        <f>N298/2520</f>
        <v>0.74997809958708916</v>
      </c>
      <c r="O305" s="412"/>
      <c r="P305" s="413"/>
      <c r="Q305" s="401"/>
      <c r="R305" s="416">
        <f>R298/2520</f>
        <v>0.25653273809523808</v>
      </c>
      <c r="S305" s="412"/>
      <c r="T305" s="413"/>
      <c r="U305" s="401"/>
      <c r="V305" s="416">
        <f>V298/2520</f>
        <v>0.64948918783210252</v>
      </c>
      <c r="W305" s="412"/>
      <c r="X305" s="413"/>
      <c r="Y305" s="401"/>
      <c r="Z305" s="416">
        <f>Z298/2520</f>
        <v>0.9999777951576404</v>
      </c>
      <c r="AA305" s="413"/>
      <c r="AB305" s="413"/>
      <c r="AC305" s="401"/>
      <c r="AD305" s="416">
        <f>AD298/2520</f>
        <v>0.62007682706561407</v>
      </c>
      <c r="AE305" s="412"/>
      <c r="AF305" s="413"/>
      <c r="AG305" s="401"/>
      <c r="AH305" s="416">
        <f>AH298/2520</f>
        <v>0.29224641072239893</v>
      </c>
      <c r="AI305" s="412"/>
      <c r="AJ305" s="413"/>
      <c r="AK305" s="401"/>
      <c r="AL305" s="416">
        <f>AL298/2520</f>
        <v>0.28723564217146641</v>
      </c>
      <c r="AM305" s="412"/>
      <c r="AN305" s="413"/>
      <c r="AO305" s="401"/>
      <c r="AP305" s="416">
        <f>AP298/2520</f>
        <v>0.25743355154808956</v>
      </c>
      <c r="AQ305" s="412"/>
      <c r="AR305" s="413"/>
      <c r="AS305" s="401"/>
      <c r="AT305" s="416">
        <f>AT298/2520</f>
        <v>0.98772351142104986</v>
      </c>
      <c r="AU305" s="412"/>
      <c r="AV305" s="413"/>
      <c r="AW305" s="401"/>
      <c r="AX305" s="416">
        <f>AX298/2520</f>
        <v>0.2376897546897547</v>
      </c>
      <c r="AY305" s="412"/>
      <c r="AZ305" s="413"/>
      <c r="BA305" s="401"/>
      <c r="BB305" s="416">
        <f>BB298/2520</f>
        <v>0.7328220646404261</v>
      </c>
      <c r="BC305" s="412"/>
      <c r="BD305" s="413"/>
      <c r="BE305" s="401"/>
      <c r="BF305" s="416">
        <f>BF298/2520</f>
        <v>0.29450204822476012</v>
      </c>
    </row>
    <row r="306" spans="2:58" ht="18" thickBot="1" x14ac:dyDescent="0.35">
      <c r="B306" s="743"/>
      <c r="C306" s="674" t="s">
        <v>147</v>
      </c>
      <c r="D306" s="675"/>
      <c r="E306" s="675"/>
      <c r="F306" s="675"/>
      <c r="G306" s="675"/>
      <c r="H306" s="675"/>
      <c r="I306" s="675"/>
      <c r="J306" s="676"/>
      <c r="K306" s="727">
        <f>K299/10080</f>
        <v>0.56358648918248655</v>
      </c>
      <c r="L306" s="504"/>
      <c r="M306" s="504"/>
      <c r="N306" s="505"/>
      <c r="O306" s="503">
        <f>O299/10080</f>
        <v>0.49434160116629305</v>
      </c>
      <c r="P306" s="504"/>
      <c r="Q306" s="504"/>
      <c r="R306" s="505"/>
      <c r="S306" s="503">
        <f>S299/10080</f>
        <v>0.31013485463983437</v>
      </c>
      <c r="T306" s="504"/>
      <c r="U306" s="504"/>
      <c r="V306" s="505"/>
      <c r="W306" s="503">
        <f>W299/10080</f>
        <v>0.54922312545760299</v>
      </c>
      <c r="X306" s="504"/>
      <c r="Y306" s="504"/>
      <c r="Z306" s="505"/>
      <c r="AA306" s="503">
        <f>AA299/10080</f>
        <v>0.84034092864356025</v>
      </c>
      <c r="AB306" s="504"/>
      <c r="AC306" s="504"/>
      <c r="AD306" s="505"/>
      <c r="AE306" s="503">
        <f>AE299/10080</f>
        <v>0.32051199491841975</v>
      </c>
      <c r="AF306" s="504"/>
      <c r="AG306" s="504"/>
      <c r="AH306" s="505"/>
      <c r="AI306" s="503">
        <f>AI299/10080</f>
        <v>0.2106105942528598</v>
      </c>
      <c r="AJ306" s="504"/>
      <c r="AK306" s="504"/>
      <c r="AL306" s="505"/>
      <c r="AM306" s="503">
        <f>AM299/10080</f>
        <v>0.47025836556297307</v>
      </c>
      <c r="AN306" s="504"/>
      <c r="AO306" s="504"/>
      <c r="AP306" s="505"/>
      <c r="AQ306" s="503">
        <f>AQ299/10080</f>
        <v>0.81647849413175444</v>
      </c>
      <c r="AR306" s="504"/>
      <c r="AS306" s="504"/>
      <c r="AT306" s="505"/>
      <c r="AU306" s="503">
        <f>AU299/10080</f>
        <v>0.271780772005772</v>
      </c>
      <c r="AV306" s="504"/>
      <c r="AW306" s="504"/>
      <c r="AX306" s="505"/>
      <c r="AY306" s="503">
        <f>AY299/10080</f>
        <v>0.34583782559604898</v>
      </c>
      <c r="AZ306" s="504"/>
      <c r="BA306" s="504"/>
      <c r="BB306" s="505"/>
      <c r="BC306" s="513">
        <f>BC299/10080</f>
        <v>0.73195428189745992</v>
      </c>
      <c r="BD306" s="514"/>
      <c r="BE306" s="514"/>
      <c r="BF306" s="514"/>
    </row>
    <row r="307" spans="2:58" x14ac:dyDescent="0.3">
      <c r="B307" s="743"/>
      <c r="C307" s="5"/>
      <c r="D307" s="5"/>
      <c r="E307" s="5"/>
      <c r="F307" s="5"/>
      <c r="G307" s="5"/>
      <c r="H307" s="5"/>
      <c r="I307" s="5"/>
      <c r="J307" s="5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2:58" ht="14.5" thickBot="1" x14ac:dyDescent="0.35">
      <c r="B308" s="743"/>
      <c r="C308" s="5"/>
      <c r="D308" s="5"/>
      <c r="E308" s="5"/>
      <c r="F308" s="5"/>
      <c r="G308" s="5"/>
      <c r="H308" s="5"/>
      <c r="I308" s="5"/>
      <c r="J308" s="5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2:58" ht="17.5" x14ac:dyDescent="0.3">
      <c r="B309" s="743"/>
      <c r="C309" s="636" t="s">
        <v>157</v>
      </c>
      <c r="D309" s="637"/>
      <c r="E309" s="637"/>
      <c r="F309" s="637"/>
      <c r="G309" s="637"/>
      <c r="H309" s="637"/>
      <c r="I309" s="637"/>
      <c r="J309" s="638"/>
      <c r="K309" s="507">
        <f>RANK(K295,$K295:$BF295)</f>
        <v>6</v>
      </c>
      <c r="L309" s="474"/>
      <c r="M309" s="474"/>
      <c r="N309" s="475"/>
      <c r="O309" s="473">
        <f>RANK(O295,$K295:$BF295)</f>
        <v>3</v>
      </c>
      <c r="P309" s="474"/>
      <c r="Q309" s="474"/>
      <c r="R309" s="475"/>
      <c r="S309" s="473">
        <f t="shared" ref="S309" si="273">RANK(S295,$K295:$BF295)</f>
        <v>10</v>
      </c>
      <c r="T309" s="474"/>
      <c r="U309" s="474"/>
      <c r="V309" s="475"/>
      <c r="W309" s="473">
        <f t="shared" ref="W309" si="274">RANK(W295,$K295:$BF295)</f>
        <v>8</v>
      </c>
      <c r="X309" s="474"/>
      <c r="Y309" s="474"/>
      <c r="Z309" s="475"/>
      <c r="AA309" s="473">
        <f t="shared" ref="AA309" si="275">RANK(AA295,$K295:$BF295)</f>
        <v>5</v>
      </c>
      <c r="AB309" s="474"/>
      <c r="AC309" s="474"/>
      <c r="AD309" s="475"/>
      <c r="AE309" s="473">
        <f t="shared" ref="AE309" si="276">RANK(AE295,$K295:$BF295)</f>
        <v>11</v>
      </c>
      <c r="AF309" s="474"/>
      <c r="AG309" s="474"/>
      <c r="AH309" s="475"/>
      <c r="AI309" s="473">
        <f t="shared" ref="AI309" si="277">RANK(AI295,$K295:$BF295)</f>
        <v>12</v>
      </c>
      <c r="AJ309" s="474"/>
      <c r="AK309" s="474"/>
      <c r="AL309" s="475"/>
      <c r="AM309" s="473">
        <f t="shared" ref="AM309" si="278">RANK(AM295,$K295:$BF295)</f>
        <v>4</v>
      </c>
      <c r="AN309" s="474"/>
      <c r="AO309" s="474"/>
      <c r="AP309" s="475"/>
      <c r="AQ309" s="473">
        <f t="shared" ref="AQ309" si="279">RANK(AQ295,$K295:$BF295)</f>
        <v>2</v>
      </c>
      <c r="AR309" s="474"/>
      <c r="AS309" s="474"/>
      <c r="AT309" s="475"/>
      <c r="AU309" s="473">
        <f t="shared" ref="AU309" si="280">RANK(AU295,$K295:$BF295)</f>
        <v>9</v>
      </c>
      <c r="AV309" s="474"/>
      <c r="AW309" s="474"/>
      <c r="AX309" s="475"/>
      <c r="AY309" s="473">
        <f t="shared" ref="AY309" si="281">RANK(AY295,$K295:$BF295)</f>
        <v>7</v>
      </c>
      <c r="AZ309" s="474"/>
      <c r="BA309" s="474"/>
      <c r="BB309" s="475"/>
      <c r="BC309" s="473">
        <f>RANK(BC295,$K295:$BF295)</f>
        <v>1</v>
      </c>
      <c r="BD309" s="474"/>
      <c r="BE309" s="474"/>
      <c r="BF309" s="475"/>
    </row>
    <row r="310" spans="2:58" ht="17.5" x14ac:dyDescent="0.3">
      <c r="B310" s="743"/>
      <c r="C310" s="639" t="s">
        <v>158</v>
      </c>
      <c r="D310" s="640"/>
      <c r="E310" s="640"/>
      <c r="F310" s="640"/>
      <c r="G310" s="640"/>
      <c r="H310" s="640"/>
      <c r="I310" s="640"/>
      <c r="J310" s="641"/>
      <c r="K310" s="508">
        <f t="shared" ref="K310" si="282">RANK(L296,$K296:$BF296)</f>
        <v>1</v>
      </c>
      <c r="L310" s="477"/>
      <c r="M310" s="477"/>
      <c r="N310" s="478"/>
      <c r="O310" s="476">
        <f t="shared" ref="O310" si="283">RANK(P296,$K296:$BF296)</f>
        <v>9</v>
      </c>
      <c r="P310" s="477"/>
      <c r="Q310" s="477"/>
      <c r="R310" s="478"/>
      <c r="S310" s="476">
        <f t="shared" ref="S310" si="284">RANK(T296,$K296:$BF296)</f>
        <v>10</v>
      </c>
      <c r="T310" s="477"/>
      <c r="U310" s="477"/>
      <c r="V310" s="478"/>
      <c r="W310" s="476">
        <f t="shared" ref="W310" si="285">RANK(X296,$K296:$BF296)</f>
        <v>12</v>
      </c>
      <c r="X310" s="477"/>
      <c r="Y310" s="477"/>
      <c r="Z310" s="478"/>
      <c r="AA310" s="476">
        <f t="shared" ref="AA310" si="286">RANK(AB296,$K296:$BF296)</f>
        <v>2</v>
      </c>
      <c r="AB310" s="477"/>
      <c r="AC310" s="477"/>
      <c r="AD310" s="478"/>
      <c r="AE310" s="476">
        <f t="shared" ref="AE310" si="287">RANK(AF296,$K296:$BF296)</f>
        <v>4</v>
      </c>
      <c r="AF310" s="477"/>
      <c r="AG310" s="477"/>
      <c r="AH310" s="478"/>
      <c r="AI310" s="476">
        <f t="shared" ref="AI310" si="288">RANK(AJ296,$K296:$BF296)</f>
        <v>7</v>
      </c>
      <c r="AJ310" s="477"/>
      <c r="AK310" s="477"/>
      <c r="AL310" s="478"/>
      <c r="AM310" s="476">
        <f t="shared" ref="AM310" si="289">RANK(AN296,$K296:$BF296)</f>
        <v>11</v>
      </c>
      <c r="AN310" s="477"/>
      <c r="AO310" s="477"/>
      <c r="AP310" s="478"/>
      <c r="AQ310" s="476">
        <f t="shared" ref="AQ310" si="290">RANK(AR296,$K296:$BF296)</f>
        <v>6</v>
      </c>
      <c r="AR310" s="477"/>
      <c r="AS310" s="477"/>
      <c r="AT310" s="478"/>
      <c r="AU310" s="476">
        <f t="shared" ref="AU310" si="291">RANK(AV296,$K296:$BF296)</f>
        <v>5</v>
      </c>
      <c r="AV310" s="477"/>
      <c r="AW310" s="477"/>
      <c r="AX310" s="478"/>
      <c r="AY310" s="476">
        <f t="shared" ref="AY310" si="292">RANK(AZ296,$K296:$BF296)</f>
        <v>8</v>
      </c>
      <c r="AZ310" s="477"/>
      <c r="BA310" s="477"/>
      <c r="BB310" s="478"/>
      <c r="BC310" s="476">
        <f>RANK(BD296,$K296:$BF296)</f>
        <v>3</v>
      </c>
      <c r="BD310" s="477"/>
      <c r="BE310" s="477"/>
      <c r="BF310" s="478"/>
    </row>
    <row r="311" spans="2:58" ht="17.5" x14ac:dyDescent="0.3">
      <c r="B311" s="743"/>
      <c r="C311" s="521" t="s">
        <v>159</v>
      </c>
      <c r="D311" s="522"/>
      <c r="E311" s="522"/>
      <c r="F311" s="522"/>
      <c r="G311" s="522"/>
      <c r="H311" s="522"/>
      <c r="I311" s="522"/>
      <c r="J311" s="523"/>
      <c r="K311" s="509">
        <f>RANK(M297,$K297:$BF297)</f>
        <v>7</v>
      </c>
      <c r="L311" s="480"/>
      <c r="M311" s="480"/>
      <c r="N311" s="481"/>
      <c r="O311" s="479">
        <f t="shared" ref="O311" si="293">RANK(Q297,$K297:$BF297)</f>
        <v>5</v>
      </c>
      <c r="P311" s="480"/>
      <c r="Q311" s="480"/>
      <c r="R311" s="481"/>
      <c r="S311" s="479">
        <f t="shared" ref="S311" si="294">RANK(U297,$K297:$BF297)</f>
        <v>9</v>
      </c>
      <c r="T311" s="480"/>
      <c r="U311" s="480"/>
      <c r="V311" s="481"/>
      <c r="W311" s="479">
        <f t="shared" ref="W311" si="295">RANK(Y297,$K297:$BF297)</f>
        <v>4</v>
      </c>
      <c r="X311" s="480"/>
      <c r="Y311" s="480"/>
      <c r="Z311" s="481"/>
      <c r="AA311" s="479">
        <f t="shared" ref="AA311" si="296">RANK(AC297,$K297:$BF297)</f>
        <v>1</v>
      </c>
      <c r="AB311" s="480"/>
      <c r="AC311" s="480"/>
      <c r="AD311" s="481"/>
      <c r="AE311" s="479">
        <f t="shared" ref="AE311" si="297">RANK(AG297,$K297:$BF297)</f>
        <v>11</v>
      </c>
      <c r="AF311" s="480"/>
      <c r="AG311" s="480"/>
      <c r="AH311" s="481"/>
      <c r="AI311" s="479">
        <f t="shared" ref="AI311" si="298">RANK(AK297,$K297:$BF297)</f>
        <v>8</v>
      </c>
      <c r="AJ311" s="480"/>
      <c r="AK311" s="480"/>
      <c r="AL311" s="481"/>
      <c r="AM311" s="479">
        <f t="shared" ref="AM311" si="299">RANK(AO297,$K297:$BF297)</f>
        <v>6</v>
      </c>
      <c r="AN311" s="480"/>
      <c r="AO311" s="480"/>
      <c r="AP311" s="481"/>
      <c r="AQ311" s="479">
        <f t="shared" ref="AQ311" si="300">RANK(AS297,$K297:$BF297)</f>
        <v>3</v>
      </c>
      <c r="AR311" s="480"/>
      <c r="AS311" s="480"/>
      <c r="AT311" s="481"/>
      <c r="AU311" s="479">
        <f t="shared" ref="AU311" si="301">RANK(AW297,$K297:$BF297)</f>
        <v>12</v>
      </c>
      <c r="AV311" s="480"/>
      <c r="AW311" s="480"/>
      <c r="AX311" s="481"/>
      <c r="AY311" s="479">
        <f t="shared" ref="AY311" si="302">RANK(BA297,$K297:$BF297)</f>
        <v>10</v>
      </c>
      <c r="AZ311" s="480"/>
      <c r="BA311" s="480"/>
      <c r="BB311" s="481"/>
      <c r="BC311" s="479">
        <f t="shared" ref="BC311" si="303">RANK(BE297,$K297:$BF297)</f>
        <v>2</v>
      </c>
      <c r="BD311" s="480"/>
      <c r="BE311" s="480"/>
      <c r="BF311" s="481"/>
    </row>
    <row r="312" spans="2:58" ht="18" thickBot="1" x14ac:dyDescent="0.35">
      <c r="B312" s="743"/>
      <c r="C312" s="521" t="s">
        <v>315</v>
      </c>
      <c r="D312" s="522"/>
      <c r="E312" s="522"/>
      <c r="F312" s="522"/>
      <c r="G312" s="522"/>
      <c r="H312" s="522"/>
      <c r="I312" s="522"/>
      <c r="J312" s="523"/>
      <c r="K312" s="506">
        <f t="shared" ref="K312" si="304">RANK(N298,$K298:$BF298)</f>
        <v>3</v>
      </c>
      <c r="L312" s="483"/>
      <c r="M312" s="483"/>
      <c r="N312" s="484"/>
      <c r="O312" s="482">
        <f t="shared" ref="O312" si="305">RANK(R298,$K298:$BF298)</f>
        <v>11</v>
      </c>
      <c r="P312" s="483"/>
      <c r="Q312" s="483"/>
      <c r="R312" s="484"/>
      <c r="S312" s="482">
        <f t="shared" ref="S312" si="306">RANK(V298,$K298:$BF298)</f>
        <v>5</v>
      </c>
      <c r="T312" s="483"/>
      <c r="U312" s="483"/>
      <c r="V312" s="484"/>
      <c r="W312" s="482">
        <f t="shared" ref="W312" si="307">RANK(Z298,$K298:$BF298)</f>
        <v>1</v>
      </c>
      <c r="X312" s="483"/>
      <c r="Y312" s="483"/>
      <c r="Z312" s="484"/>
      <c r="AA312" s="482">
        <f t="shared" ref="AA312" si="308">RANK(AD298,$K298:$BF298)</f>
        <v>6</v>
      </c>
      <c r="AB312" s="483"/>
      <c r="AC312" s="483"/>
      <c r="AD312" s="484"/>
      <c r="AE312" s="482">
        <f t="shared" ref="AE312" si="309">RANK(AH298,$K298:$BF298)</f>
        <v>8</v>
      </c>
      <c r="AF312" s="483"/>
      <c r="AG312" s="483"/>
      <c r="AH312" s="484"/>
      <c r="AI312" s="482">
        <f t="shared" ref="AI312" si="310">RANK(AL298,$K298:$BF298)</f>
        <v>9</v>
      </c>
      <c r="AJ312" s="483"/>
      <c r="AK312" s="483"/>
      <c r="AL312" s="484"/>
      <c r="AM312" s="482">
        <f t="shared" ref="AM312" si="311">RANK(AP298,$K298:$BF298)</f>
        <v>10</v>
      </c>
      <c r="AN312" s="483"/>
      <c r="AO312" s="483"/>
      <c r="AP312" s="484"/>
      <c r="AQ312" s="482">
        <f t="shared" ref="AQ312" si="312">RANK(AT298,$K298:$BF298)</f>
        <v>2</v>
      </c>
      <c r="AR312" s="483"/>
      <c r="AS312" s="483"/>
      <c r="AT312" s="484"/>
      <c r="AU312" s="482">
        <f t="shared" ref="AU312" si="313">RANK(AX298,$K298:$BF298)</f>
        <v>12</v>
      </c>
      <c r="AV312" s="483"/>
      <c r="AW312" s="483"/>
      <c r="AX312" s="484"/>
      <c r="AY312" s="482">
        <f t="shared" ref="AY312" si="314">RANK(BB298,$K298:$BF298)</f>
        <v>4</v>
      </c>
      <c r="AZ312" s="483"/>
      <c r="BA312" s="483"/>
      <c r="BB312" s="484"/>
      <c r="BC312" s="482">
        <f>RANK(BF298,$K298:$BF298)</f>
        <v>7</v>
      </c>
      <c r="BD312" s="483"/>
      <c r="BE312" s="483"/>
      <c r="BF312" s="484"/>
    </row>
    <row r="313" spans="2:58" ht="38.25" customHeight="1" thickBot="1" x14ac:dyDescent="0.35">
      <c r="B313" s="744"/>
      <c r="C313" s="677" t="s">
        <v>156</v>
      </c>
      <c r="D313" s="678"/>
      <c r="E313" s="678"/>
      <c r="F313" s="678"/>
      <c r="G313" s="678"/>
      <c r="H313" s="678"/>
      <c r="I313" s="678"/>
      <c r="J313" s="679"/>
      <c r="K313" s="510">
        <f t="shared" ref="K313" si="315">RANK(K299,$K299:$BF299)</f>
        <v>4</v>
      </c>
      <c r="L313" s="486"/>
      <c r="M313" s="486"/>
      <c r="N313" s="487"/>
      <c r="O313" s="485">
        <f t="shared" ref="O313" si="316">RANK(O299,$K299:$BF299)</f>
        <v>6</v>
      </c>
      <c r="P313" s="486"/>
      <c r="Q313" s="486"/>
      <c r="R313" s="487"/>
      <c r="S313" s="485">
        <f t="shared" ref="S313" si="317">RANK(S299,$K299:$BF299)</f>
        <v>10</v>
      </c>
      <c r="T313" s="486"/>
      <c r="U313" s="486"/>
      <c r="V313" s="487"/>
      <c r="W313" s="485">
        <f t="shared" ref="W313" si="318">RANK(W299,$K299:$BF299)</f>
        <v>5</v>
      </c>
      <c r="X313" s="486"/>
      <c r="Y313" s="486"/>
      <c r="Z313" s="487"/>
      <c r="AA313" s="485">
        <f t="shared" ref="AA313" si="319">RANK(AA299,$K299:$BF299)</f>
        <v>1</v>
      </c>
      <c r="AB313" s="486"/>
      <c r="AC313" s="486"/>
      <c r="AD313" s="487"/>
      <c r="AE313" s="485">
        <f t="shared" ref="AE313" si="320">RANK(AE299,$K299:$BF299)</f>
        <v>9</v>
      </c>
      <c r="AF313" s="486"/>
      <c r="AG313" s="486"/>
      <c r="AH313" s="487"/>
      <c r="AI313" s="485">
        <f t="shared" ref="AI313" si="321">RANK(AI299,$K299:$BF299)</f>
        <v>12</v>
      </c>
      <c r="AJ313" s="486"/>
      <c r="AK313" s="486"/>
      <c r="AL313" s="487"/>
      <c r="AM313" s="485">
        <f t="shared" ref="AM313" si="322">RANK(AM299,$K299:$BF299)</f>
        <v>7</v>
      </c>
      <c r="AN313" s="486"/>
      <c r="AO313" s="486"/>
      <c r="AP313" s="487"/>
      <c r="AQ313" s="485">
        <f t="shared" ref="AQ313" si="323">RANK(AQ299,$K299:$BF299)</f>
        <v>2</v>
      </c>
      <c r="AR313" s="486"/>
      <c r="AS313" s="486"/>
      <c r="AT313" s="487"/>
      <c r="AU313" s="485">
        <f t="shared" ref="AU313" si="324">RANK(AU299,$K299:$BF299)</f>
        <v>11</v>
      </c>
      <c r="AV313" s="486"/>
      <c r="AW313" s="486"/>
      <c r="AX313" s="487"/>
      <c r="AY313" s="485">
        <f t="shared" ref="AY313" si="325">RANK(AY299,$K299:$BF299)</f>
        <v>8</v>
      </c>
      <c r="AZ313" s="486"/>
      <c r="BA313" s="486"/>
      <c r="BB313" s="487"/>
      <c r="BC313" s="485">
        <f>RANK(BC299,$K299:$BF299)</f>
        <v>3</v>
      </c>
      <c r="BD313" s="486"/>
      <c r="BE313" s="486"/>
      <c r="BF313" s="487"/>
    </row>
    <row r="315" spans="2:58" ht="14.5" thickBot="1" x14ac:dyDescent="0.35"/>
    <row r="316" spans="2:58" ht="23.5" customHeight="1" thickBot="1" x14ac:dyDescent="0.35">
      <c r="K316" s="720" t="s">
        <v>236</v>
      </c>
      <c r="L316" s="721"/>
      <c r="M316" s="721"/>
      <c r="N316" s="721"/>
      <c r="O316" s="721"/>
      <c r="P316" s="721"/>
      <c r="Q316" s="721"/>
      <c r="R316" s="721"/>
      <c r="S316" s="721"/>
      <c r="T316" s="721"/>
      <c r="U316" s="721"/>
      <c r="V316" s="721"/>
      <c r="W316" s="721"/>
      <c r="X316" s="721"/>
      <c r="Y316" s="721"/>
      <c r="Z316" s="721"/>
      <c r="AA316" s="721"/>
      <c r="AB316" s="721"/>
      <c r="AC316" s="721"/>
      <c r="AD316" s="721"/>
      <c r="AE316" s="721"/>
      <c r="AF316" s="721"/>
      <c r="AG316" s="721"/>
      <c r="AH316" s="721"/>
      <c r="AI316" s="721"/>
      <c r="AJ316" s="721"/>
      <c r="AK316" s="721"/>
      <c r="AL316" s="721"/>
      <c r="AM316" s="721"/>
      <c r="AN316" s="721"/>
      <c r="AO316" s="721"/>
      <c r="AP316" s="721"/>
      <c r="AQ316" s="721"/>
      <c r="AR316" s="721"/>
      <c r="AS316" s="721"/>
      <c r="AT316" s="721"/>
      <c r="AU316" s="721"/>
      <c r="AV316" s="721"/>
      <c r="AW316" s="721"/>
      <c r="AX316" s="721"/>
      <c r="AY316" s="721"/>
      <c r="AZ316" s="721"/>
      <c r="BA316" s="721"/>
      <c r="BB316" s="721"/>
      <c r="BC316" s="722"/>
    </row>
    <row r="317" spans="2:58" ht="20.5" thickBot="1" x14ac:dyDescent="0.35">
      <c r="K317" s="663" t="s">
        <v>152</v>
      </c>
      <c r="L317" s="664"/>
      <c r="M317" s="664"/>
      <c r="N317" s="664"/>
      <c r="O317" s="664"/>
      <c r="P317" s="664"/>
      <c r="Q317" s="664"/>
      <c r="R317" s="664"/>
      <c r="S317" s="665"/>
      <c r="W317" s="666" t="s">
        <v>153</v>
      </c>
      <c r="X317" s="667"/>
      <c r="Y317" s="667"/>
      <c r="Z317" s="667"/>
      <c r="AA317" s="667"/>
      <c r="AB317" s="667"/>
      <c r="AC317" s="667"/>
      <c r="AD317" s="667"/>
      <c r="AE317" s="668"/>
      <c r="AI317" s="717" t="s">
        <v>154</v>
      </c>
      <c r="AJ317" s="718"/>
      <c r="AK317" s="718"/>
      <c r="AL317" s="718"/>
      <c r="AM317" s="718"/>
      <c r="AN317" s="718"/>
      <c r="AO317" s="718"/>
      <c r="AP317" s="718"/>
      <c r="AQ317" s="719"/>
      <c r="AU317" s="494" t="s">
        <v>243</v>
      </c>
      <c r="AV317" s="495"/>
      <c r="AW317" s="495"/>
      <c r="AX317" s="495"/>
      <c r="AY317" s="495"/>
      <c r="AZ317" s="495"/>
      <c r="BA317" s="495"/>
      <c r="BB317" s="495"/>
      <c r="BC317" s="496"/>
    </row>
    <row r="318" spans="2:58" x14ac:dyDescent="0.3">
      <c r="K318" s="53" t="s">
        <v>214</v>
      </c>
      <c r="L318" s="54" t="str">
        <f>IF(TEXT(K$309,"#")=MID(K318,1,LEN(K318)-1),K$13,IF(TEXT(O$309,"#")=MID(K318,1,LEN(K318)-1),O$13,IF(TEXT(S$309,"#")=MID(K318,1,LEN(K318)-1),S$13,IF(TEXT(W$309,"#")=MID(K318,1,LEN(K318)-1),W$13,IF(TEXT(AA$309,"#")=MID(K318,1,LEN(K318)-1),AA$13,IF(TEXT(AE$309,"#")=MID(K318,1,LEN(K318)-1),AE$13,IF(TEXT(AI$309,"#")=MID(K318,1,LEN(K318)-1),AI$13,IF(TEXT(AM$309,"#")=MID(K318,1,LEN(K318)-1),AM$13,IF(TEXT(AQ$309,"#")=MID(K318,1,LEN(K318)-1),AQ$13,IF(TEXT(AU$309,"#")=MID(K318,1,LEN(K318)-1),AU$13,IF(TEXT(AY$309,"#")=MID(K318,1,LEN(K318)-1),AY$13,IF(TEXT(BC$309,"#")=MID(K318,1,LEN(K318)-1),BC$13,""))))))))))))</f>
        <v>L</v>
      </c>
      <c r="M318" s="669" t="str">
        <f>IF(TEXT(K$309,"#")=MID(K318,1,LEN(K318)-1),K$14,IF(TEXT(O$309,"#")=MID(K318,1,LEN(K318)-1),O$14,IF(TEXT(S$309,"#")=MID(K318,1,LEN(K318)-1),S$14,IF(TEXT(W$309,"#")=MID(K318,1,LEN(K318)-1),W$14,IF(TEXT(AA$309,"#")=MID(K318,1,LEN(K318)-1),AA$14,IF(TEXT(AE$309,"#")=MID(K318,1,LEN(K318)-1),AE$14,IF(TEXT(AI$309,"#")=MID(K318,1,LEN(K318)-1),AI$14,IF(TEXT(AM$309,"#")=MID(K318,1,LEN(K318)-1),AM$14,IF(TEXT(AQ$309,"#")=MID(K318,1,LEN(K318)-1),AQ$14,IF(TEXT(AU$309,"#")=MID(K318,1,LEN(K318)-1),AU$14,IF(TEXT(AY$309,"#")=MID(K318,1,LEN(K318)-1),AY$14,IF(TEXT(BC$309,"#")=MID(K318,1,LEN(K318)-1),BC$14,""))))))))))))</f>
        <v>Massimo</v>
      </c>
      <c r="N318" s="670"/>
      <c r="O318" s="670"/>
      <c r="P318" s="671"/>
      <c r="Q318" s="79">
        <f t="shared" ref="Q318:Q329" si="326">IF(TEXT(K$309,"#")=MID(K318,1,LEN(K318)-1),K$295,IF(TEXT(O$309,"#")=MID(K318,1,LEN(K318)-1),O$295,IF(TEXT(S$309,"#")=MID(K318,1,LEN(K318)-1),S$295,IF(TEXT(W$309,"#")=MID(K318,1,LEN(K318)-1),W$295,IF(TEXT(AA$309,"#")=MID(K318,1,LEN(K318)-1),AA$295,IF(TEXT(AE$309,"#")=MID(K318,1,LEN(K318)-1),AE$295,IF(TEXT(AI$309,"#")=MID(K318,1,LEN(K318)-1),AI$295,IF(TEXT(AM$309,"#")=MID(K318,1,LEN(K318)-1),AM$295,IF(TEXT(AQ$309,"#")=MID(K318,1,LEN(K318)-1),AQ$295,IF(TEXT(AU$309,"#")=MID(K318,1,LEN(K318)-1),AU$295,IF(TEXT(AY$309,"#")=MID(K318,1,LEN(K318)-1),AY$295,IF(TEXT(BC$309,"#")=MID(K318,1,LEN(K318)-1),BC$295,""))))))))))))</f>
        <v>2456.9830000000002</v>
      </c>
      <c r="R318" s="118"/>
      <c r="S318" s="100">
        <f t="shared" ref="S318:S329" si="327">IF(TEXT(K$309,"#")=MID(K318,1,LEN(K318)-1),K$302,IF(TEXT(O$309,"#")=MID(K318,1,LEN(K318)-1),O$302,IF(TEXT(S$309,"#")=MID(K318,1,LEN(K318)-1),S$302,IF(TEXT(W$309,"#")=MID(K318,1,LEN(K318)-1),W$302,IF(TEXT(AA$309,"#")=MID(K318,1,LEN(K318)-1),AA$302,IF(TEXT(AE$309,"#")=MID(K318,1,LEN(K318)-1),AE$302,IF(TEXT(AI$309,"#")=MID(K318,1,LEN(K318)-1),AI$302,IF(TEXT(AM$309,"#")=MID(K318,1,LEN(K318)-1),AM$302,IF(TEXT(AQ$309,"#")=MID(K318,1,LEN(K318)-1),AQ$302,IF(TEXT(AU$309,"#")=MID(K318,1,LEN(K318)-1),AU$302,IF(TEXT(AY$309,"#")=MID(K318,1,LEN(K318)-1),AY$302,IF(TEXT(BC$309,"#")=MID(K318,1,LEN(K318)-1),BC$302,""))))))))))))</f>
        <v>0.97499325396825409</v>
      </c>
      <c r="W318" s="62" t="s">
        <v>214</v>
      </c>
      <c r="X318" s="63" t="str">
        <f>IF(TEXT(K$310,"#")=MID(K318,1,LEN(K318)-1),K$13,IF(TEXT(O$310,"#")=MID(K318,1,LEN(K318)-1),O$13,IF(TEXT(S$310,"#")=MID(K318,1,LEN(K318)-1),S$13,IF(TEXT(W$310,"#")=MID(K318,1,LEN(K318)-1),W$13,IF(TEXT(AA$310,"#")=MID(K318,1,LEN(K318)-1),AA$13,IF(TEXT(AE$310,"#")=MID(K318,1,LEN(K318)-1),AE$13,IF(TEXT(AI$310,"#")=MID(K318,1,LEN(K318)-1),AI$13,IF(TEXT(AM$310,"#")=MID(K318,1,LEN(K318)-1),AM$13,IF(TEXT(AQ$310,"#")=MID(K318,1,LEN(K318)-1),AQ$13,IF(TEXT(AU$310,"#")=MID(K318,1,LEN(K318)-1),AU$13,IF(TEXT(AY$310,"#")=MID(K318,1,LEN(K318)-1),AY$13,IF(TEXT(BC$310,"#")=MID(K318,1,LEN(K318)-1),BC$13,""))))))))))))</f>
        <v>A</v>
      </c>
      <c r="Y318" s="672" t="str">
        <f>IF(TEXT(K$310,"#")=MID(K318,1,LEN(K318)-1),K$14,IF(TEXT(O$310,"#")=MID(K318,1,LEN(K318)-1),O$14,IF(TEXT(S$310,"#")=MID(K318,1,LEN(K318)-1),S$14,IF(TEXT(W$310,"#")=MID(K318,1,LEN(K318)-1),W$14,IF(TEXT(AA$310,"#")=MID(K318,1,LEN(K318)-1),AA$14,IF(TEXT(AE$310,"#")=MID(K318,1,LEN(K318)-1),AE$14,IF(TEXT(AI$310,"#")=MID(K318,1,LEN(K318)-1),AI$14,IF(TEXT(AM$310,"#")=MID(K318,1,LEN(K318)-1),AM$14,IF(TEXT(AQ$310,"#")=MID(K318,1,LEN(K318)-1),AQ$14,IF(TEXT(AU$310,"#")=MID(K318,1,LEN(K318)-1),AU$14,IF(TEXT(AY$310,"#")=MID(K318,1,LEN(K318)-1),AY$14,IF(TEXT(BC$310,"#")=MID(K318,1,LEN(K318)-1),BC$14,""))))))))))))</f>
        <v>Gianni</v>
      </c>
      <c r="Z318" s="672"/>
      <c r="AA318" s="672"/>
      <c r="AB318" s="672"/>
      <c r="AC318" s="82">
        <f t="shared" ref="AC318:AC329" si="328">IF(TEXT(K$310,"#")=MID(K318,1,LEN(K318)-1),L$296,IF(TEXT(O$310,"#")=MID(K318,1,LEN(K318)-1),P$296,IF(TEXT(S$310,"#")=MID(K318,1,LEN(K318)-1),T$296,IF(TEXT(W$310,"#")=MID(K318,1,LEN(K318)-1),X$296,IF(TEXT(AA$310,"#")=MID(K318,1,LEN(K318)-1),AB$296,IF(TEXT(AE$310,"#")=MID(K318,1,LEN(K318)-1),AF$296,IF(TEXT(AI$310,"#")=MID(K318,1,LEN(K318)-1),AJ$296,IF(TEXT(AM$310,"#")=MID(K318,1,LEN(K318)-1),AN$296,IF(TEXT(AQ$310,"#")=MID(K318,1,LEN(K318)-1),AR$296,IF(TEXT(AU$310,"#")=MID(K318,1,LEN(K318)-1),AV$296,IF(TEXT(AY$310,"#")=MID(K318,1,LEN(K318)-1),AZ$296,IF(TEXT(BC$310,"#")=MID(K318,1,LEN(K318)-1),BD$296,""))))))))))))</f>
        <v>2520</v>
      </c>
      <c r="AD318" s="121"/>
      <c r="AE318" s="103">
        <f t="shared" ref="AE318:AE329" si="329">IF(TEXT(K$310,"#")=MID(K318,1,LEN(K318)-1),L$303,IF(TEXT(O$310,"#")=MID(K318,1,LEN(K318)-1),P$303,IF(TEXT(S$310,"#")=MID(K318,1,LEN(K318)-1),T$303,IF(TEXT(W$310,"#")=MID(K318,1,LEN(K318)-1),X$303,IF(TEXT(AA$310,"#")=MID(K318,1,LEN(K318)-1),AB$303,IF(TEXT(AE$310,"#")=MID(K318,1,LEN(K318)-1),AF$303,IF(TEXT(AI$310,"#")=MID(K318,1,LEN(K318)-1),AJ$303,IF(TEXT(AM$310,"#")=MID(K318,1,LEN(K318)-1),AN$303,IF(TEXT(AQ$310,"#")=MID(K318,1,LEN(K318)-1),AR$303,IF(TEXT(AU$310,"#")=MID(K318,1,LEN(K318)-1),AV$303,IF(TEXT(AY$310,"#")=MID(K318,1,LEN(K318)-1),AZ$303,IF(TEXT(BC$310,"#")=MID(K318,1,LEN(K318)-1),BD$303,""))))))))))))</f>
        <v>1</v>
      </c>
      <c r="AI318" s="106" t="s">
        <v>214</v>
      </c>
      <c r="AJ318" s="107" t="str">
        <f>IF(TEXT(K$311,"#")=MID(K318,1,LEN(K318)-1),K$13,IF(TEXT(O$311,"#")=MID(K318,1,LEN(K318)-1),O$13,IF(TEXT(S$311,"#")=MID(K318,1,LEN(K318)-1),S$13,IF(TEXT(W$311,"#")=MID(K318,1,LEN(K318)-1),W$13,IF(TEXT(AA$311,"#")=MID(K318,1,LEN(K318)-1),AA$13,IF(TEXT(AE$311,"#")=MID(K318,1,LEN(K318)-1),AE$13,IF(TEXT(AI$311,"#")=MID(K318,1,LEN(K318)-1),AI$13,IF(TEXT(AM$311,"#")=MID(K318,1,LEN(K318)-1),AM$13,IF(TEXT(AQ$311,"#")=MID(K318,1,LEN(K318)-1),AQ$13,IF(TEXT(AU$311,"#")=MID(K318,1,LEN(K318)-1),AU$13,IF(TEXT(AY$311,"#")=MID(K318,1,LEN(K318)-1),AY$13,IF(TEXT(BC$311,"#")=MID(K318,1,LEN(K318)-1),BC$13,""))))))))))))</f>
        <v>E</v>
      </c>
      <c r="AK318" s="689" t="str">
        <f>IF(TEXT(K$311,"#")=MID(K318,1,LEN(K318)-1),K$14,IF(TEXT(O$311,"#")=MID(K318,1,LEN(K318)-1),O$14,IF(TEXT(S$311,"#")=MID(K318,1,LEN(K318)-1),S$14,IF(TEXT(W$311,"#")=MID(K318,1,LEN(K318)-1),W$14,IF(TEXT(AA$311,"#")=MID(K318,1,LEN(K318)-1),AA$14,IF(TEXT(AE$311,"#")=MID(K318,1,LEN(K318)-1),AE$14,IF(TEXT(AI$311,"#")=MID(K318,1,LEN(K318)-1),AI$14,IF(TEXT(AM$311,"#")=MID(K318,1,LEN(K318)-1),AM$14,IF(TEXT(AQ$311,"#")=MID(K318,1,LEN(K318)-1),AQ$14,IF(TEXT(AU$311,"#")=MID(K318,1,LEN(K318)-1),AU$14,IF(TEXT(AY$311,"#")=MID(K318,1,LEN(K318)-1),AY$14,IF(TEXT(BC$311,"#")=MID(K318,1,LEN(K318)-1),BC$14,""))))))))))))</f>
        <v>Stefano</v>
      </c>
      <c r="AL318" s="690"/>
      <c r="AM318" s="690"/>
      <c r="AN318" s="691"/>
      <c r="AO318" s="108">
        <f t="shared" ref="AO318:AO329" si="330">IF(TEXT(K$311,"#")=MID(K318,1,LEN(K318)-1),M$297,IF(TEXT(O$311,"#")=MID(K318,1,LEN(K318)-1),Q$297,IF(TEXT(S$311,"#")=MID(K318,1,LEN(K318)-1),U$297,IF(TEXT(W$311,"#")=MID(K318,1,LEN(K318)-1),Y$297,IF(TEXT(AA$311,"#")=MID(K318,1,LEN(K318)-1),AC$297,IF(TEXT(AE$311,"#")=MID(K318,1,LEN(K318)-1),AG$297,IF(TEXT(AI$311,"#")=MID(K318,1,LEN(K318)-1),AK$297,IF(TEXT(AM$311,"#")=MID(K318,1,LEN(K318)-1),AO$297,IF(TEXT(AQ$311,"#")=MID(K318,1,LEN(K318)-1),AS$297,IF(TEXT(AU$311,"#")=MID(K318,1,LEN(K318)-1),AW$297,IF(TEXT(AY$311,"#")=MID(K318,1,LEN(K318)-1),BA$297,IF(TEXT(BC$311,"#")=MID(K318,1,LEN(K318)-1),BE$297,""))))))))))))</f>
        <v>2519.9780000000001</v>
      </c>
      <c r="AP318" s="124"/>
      <c r="AQ318" s="109">
        <f t="shared" ref="AQ318:AQ329" si="331">IF(TEXT(K$311,"#")=MID(K318,1,LEN(K318)-1),M$304,IF(TEXT(O$311,"#")=MID(K318,1,LEN(K318)-1),Q$304,IF(TEXT(S$311,"#")=MID(K318,1,LEN(K318)-1),U$304,IF(TEXT(W$311,"#")=MID(K318,1,LEN(K318)-1),Y$304,IF(TEXT(AA$311,"#")=MID(K318,1,LEN(K318)-1),AC$304,IF(TEXT(AE$311,"#")=MID(K318,1,LEN(K318)-1),AG$304,IF(TEXT(AI$311,"#")=MID(K318,1,LEN(K318)-1),AK$304,IF(TEXT(AM$311,"#")=MID(K318,1,LEN(K318)-1),AO$304,IF(TEXT(AQ$311,"#")=MID(K318,1,LEN(K318)-1),AS$304,IF(TEXT(AU$311,"#")=MID(K318,1,LEN(K318)-1),AW$304,IF(TEXT(AY$311,"#")=MID(K318,1,LEN(K318)-1),BA$304,IF(TEXT(BC$311,"#")=MID(K318,1,LEN(K318)-1),BE$304,""))))))))))))</f>
        <v>0.99999126984126985</v>
      </c>
      <c r="AU318" s="432" t="s">
        <v>214</v>
      </c>
      <c r="AV318" s="433" t="str">
        <f>IF(TEXT(K$312,"#")=MID(K318,1,LEN(K318)-1),K$13,IF(TEXT(O$312,"#")=MID(K318,1,LEN(K318)-1),O$13,IF(TEXT(S$312,"#")=MID(K318,1,LEN(K318)-1),S$13,IF(TEXT(W$312,"#")=MID(K318,1,LEN(K318)-1),W$13,IF(TEXT(AA$312,"#")=MID(K318,1,LEN(K318)-1),AA$13,IF(TEXT(AE$312,"#")=MID(K318,1,LEN(K318)-1),AE$13,IF(TEXT(AI$312,"#")=MID(K318,1,LEN(K318)-1),AI$13,IF(TEXT(AM$312,"#")=MID(K318,1,LEN(K318)-1),AM$13,IF(TEXT(AQ$312,"#")=MID(K318,1,LEN(K318)-1),AQ$13,IF(TEXT(AU$312,"#")=MID(K318,1,LEN(K318)-1),AU$13,IF(TEXT(AY$312,"#")=MID(K318,1,LEN(K318)-1),AY$13,IF(TEXT(BC$312,"#")=MID(K318,1,LEN(K318)-1),BC$13,""))))))))))))</f>
        <v>D</v>
      </c>
      <c r="AW318" s="497" t="str">
        <f>IF(TEXT(K$312,"#")=MID(K318,1,LEN(K318)-1),K$14,IF(TEXT(O$312,"#")=MID(K318,1,LEN(K318)-1),O$14,IF(TEXT(S$312,"#")=MID(K318,1,LEN(K318)-1),S$14,IF(TEXT(W$312,"#")=MID(K318,1,LEN(K318)-1),W$14,IF(TEXT(AA$312,"#")=MID(K318,1,LEN(K318)-1),AA$14,IF(TEXT(AE$312,"#")=MID(K318,1,LEN(K318)-1),AE$14,IF(TEXT(AI$312,"#")=MID(K318,1,LEN(K318)-1),AI$14,IF(TEXT(AM$312,"#")=MID(K318,1,LEN(K318)-1),AM$14,IF(TEXT(AQ$312,"#")=MID(K318,1,LEN(K318)-1),AQ$14,IF(TEXT(AU$312,"#")=MID(K318,1,LEN(K318)-1),AU$14,IF(TEXT(AY$312,"#")=MID(K318,1,LEN(K318)-1),AY$14,IF(TEXT(BC$312,"#")=MID(K318,1,LEN(K318)-1),BC$14,""))))))))))))</f>
        <v>Alberto</v>
      </c>
      <c r="AX318" s="498"/>
      <c r="AY318" s="498"/>
      <c r="AZ318" s="499"/>
      <c r="BA318" s="434">
        <f>IF(TEXT(K$312,"#")=MID(K318,1,LEN(K318)-1),N$298,IF(TEXT(O$312,"#")=MID(K318,1,LEN(K318)-1),R$298,IF(TEXT(S$312,"#")=MID(K318,1,LEN(K318)-1),V$298,IF(TEXT(W$312,"#")=MID(K318,1,LEN(K318)-1),Z$298,IF(TEXT(AA$312,"#")=MID(K318,1,LEN(K318)-1),AD$298,IF(TEXT(AE$312,"#")=MID(K318,1,LEN(K318)-1),AH$298,IF(TEXT(AI$312,"#")=MID(K318,1,LEN(K318)-1),AL$298,IF(TEXT(AM$312,"#")=MID(K318,1,LEN(K318)-1),AP$298,IF(TEXT(AQ$312,"#")=MID(K318,1,LEN(K318)-1),AT$298,IF(TEXT(AU$312,"#")=MID(K318,1,LEN(K318)-1),AX$298,IF(TEXT(AY$312,"#")=MID(K318,1,LEN(K318)-1),BB$298,IF(TEXT(BC$312,"#")=MID(K318,1,LEN(K318)-1),BF$298,""))))))))))))</f>
        <v>2519.9440437972539</v>
      </c>
      <c r="BB318" s="435"/>
      <c r="BC318" s="436">
        <f>IF(TEXT(K$312,"#")=MID(K318,1,LEN(K318)-1),N$305,IF(TEXT(O$312,"#")=MID(K318,1,LEN(K318)-1),R$305,IF(TEXT(S$312,"#")=MID(K318,1,LEN(K318)-1),V$305,IF(TEXT(W$312,"#")=MID(K318,1,LEN(K318)-1),Z$305,IF(TEXT(AA$312,"#")=MID(K318,1,LEN(K318)-1),AD$305,IF(TEXT(AE$312,"#")=MID(K318,1,LEN(K318)-1),AH$305,IF(TEXT(AI$312,"#")=MID(K318,1,LEN(K318)-1),AL$305,IF(TEXT(AM$312,"#")=MID(K318,1,LEN(K318)-1),AP$305,IF(TEXT(AQ$312,"#")=MID(K318,1,LEN(K318)-1),AT$305,IF(TEXT(AU$312,"#")=MID(K318,1,LEN(K318)-1),AX$305,IF(TEXT(AY$312,"#")=MID(K318,1,LEN(K318)-1),BB$305,IF(TEXT(BC$312,"#")=MID(K318,1,LEN(K318)-1),BF$305,""))))))))))))</f>
        <v>0.9999777951576404</v>
      </c>
    </row>
    <row r="319" spans="2:58" x14ac:dyDescent="0.3">
      <c r="K319" s="56" t="s">
        <v>215</v>
      </c>
      <c r="L319" s="57" t="str">
        <f>IF(TEXT(K$309,"#")=MID(K319,1,LEN(K319)-1),K$13,IF(TEXT(O$309,"#")=MID(K319,1,LEN(K319)-1),O$13,IF(TEXT(S$309,"#")=MID(K319,1,LEN(K319)-1),S$13,IF(TEXT(W$309,"#")=MID(K319,1,LEN(K319)-1),W$13,IF(TEXT(AA$309,"#")=MID(K319,1,LEN(K319)-1),AA$13,IF(TEXT(AE$309,"#")=MID(K319,1,LEN(K319)-1),AE$13,IF(TEXT(AI$309,"#")=MID(K319,1,LEN(K319)-1),AI$13,IF(TEXT(AM$309,"#")=MID(K319,1,LEN(K319)-1),AM$13,IF(TEXT(AQ$309,"#")=MID(K319,1,LEN(K319)-1),AQ$13,IF(TEXT(AU$309,"#")=MID(K319,1,LEN(K319)-1),AU$13,IF(TEXT(AY$309,"#")=MID(K319,1,LEN(K319)-1),AY$13,IF(TEXT(BC$309,"#")=MID(K319,1,LEN(K319)-1),BC$13,""))))))))))))</f>
        <v>I</v>
      </c>
      <c r="M319" s="584" t="str">
        <f>IF(TEXT(K$309,"#")=MID(K319,1,LEN(K319)-1),K$14,IF(TEXT(O$309,"#")=MID(K319,1,LEN(K319)-1),O$14,IF(TEXT(S$309,"#")=MID(K319,1,LEN(K319)-1),S$14,IF(TEXT(W$309,"#")=MID(K319,1,LEN(K319)-1),W$14,IF(TEXT(AA$309,"#")=MID(K319,1,LEN(K319)-1),AA$14,IF(TEXT(AE$309,"#")=MID(K319,1,LEN(K319)-1),AE$14,IF(TEXT(AI$309,"#")=MID(K319,1,LEN(K319)-1),AI$14,IF(TEXT(AM$309,"#")=MID(K319,1,LEN(K319)-1),AM$14,IF(TEXT(AQ$309,"#")=MID(K319,1,LEN(K319)-1),AQ$14,IF(TEXT(AU$309,"#")=MID(K319,1,LEN(K319)-1),AU$14,IF(TEXT(AY$309,"#")=MID(K319,1,LEN(K319)-1),AY$14,IF(TEXT(BC$309,"#")=MID(K319,1,LEN(K319)-1),BC$14,""))))))))))))</f>
        <v>Alessandro</v>
      </c>
      <c r="N319" s="585"/>
      <c r="O319" s="585"/>
      <c r="P319" s="586"/>
      <c r="Q319" s="80">
        <f t="shared" si="326"/>
        <v>2393.98</v>
      </c>
      <c r="R319" s="119"/>
      <c r="S319" s="101">
        <f t="shared" si="327"/>
        <v>0.94999206349206355</v>
      </c>
      <c r="W319" s="65" t="s">
        <v>215</v>
      </c>
      <c r="X319" s="66" t="str">
        <f>IF(TEXT(K$310,"#")=MID(K319,1,LEN(K319)-1),K$13,IF(TEXT(O$310,"#")=MID(K319,1,LEN(K319)-1),O$13,IF(TEXT(S$310,"#")=MID(K319,1,LEN(K319)-1),S$13,IF(TEXT(W$310,"#")=MID(K319,1,LEN(K319)-1),W$13,IF(TEXT(AA$310,"#")=MID(K319,1,LEN(K319)-1),AA$13,IF(TEXT(AE$310,"#")=MID(K319,1,LEN(K319)-1),AE$13,IF(TEXT(AI$310,"#")=MID(K319,1,LEN(K319)-1),AI$13,IF(TEXT(AM$310,"#")=MID(K319,1,LEN(K319)-1),AM$13,IF(TEXT(AQ$310,"#")=MID(K319,1,LEN(K319)-1),AQ$13,IF(TEXT(AU$310,"#")=MID(K319,1,LEN(K319)-1),AU$13,IF(TEXT(AY$310,"#")=MID(K319,1,LEN(K319)-1),AY$13,IF(TEXT(BC$310,"#")=MID(K319,1,LEN(K319)-1),BC$13,""))))))))))))</f>
        <v>E</v>
      </c>
      <c r="Y319" s="673" t="str">
        <f>IF(TEXT(K$310,"#")=MID(K319,1,LEN(K319)-1),K$14,IF(TEXT(O$310,"#")=MID(K319,1,LEN(K319)-1),O$14,IF(TEXT(S$310,"#")=MID(K319,1,LEN(K319)-1),S$14,IF(TEXT(W$310,"#")=MID(K319,1,LEN(K319)-1),W$14,IF(TEXT(AA$310,"#")=MID(K319,1,LEN(K319)-1),AA$14,IF(TEXT(AE$310,"#")=MID(K319,1,LEN(K319)-1),AE$14,IF(TEXT(AI$310,"#")=MID(K319,1,LEN(K319)-1),AI$14,IF(TEXT(AM$310,"#")=MID(K319,1,LEN(K319)-1),AM$14,IF(TEXT(AQ$310,"#")=MID(K319,1,LEN(K319)-1),AQ$14,IF(TEXT(AU$310,"#")=MID(K319,1,LEN(K319)-1),AU$14,IF(TEXT(AY$310,"#")=MID(K319,1,LEN(K319)-1),AY$14,IF(TEXT(BC$310,"#")=MID(K319,1,LEN(K319)-1),BC$14,""))))))))))))</f>
        <v>Stefano</v>
      </c>
      <c r="Z319" s="673"/>
      <c r="AA319" s="673"/>
      <c r="AB319" s="673"/>
      <c r="AC319" s="83">
        <f t="shared" si="328"/>
        <v>2372.086956521739</v>
      </c>
      <c r="AD319" s="122"/>
      <c r="AE319" s="104">
        <f t="shared" si="329"/>
        <v>0.94130434782608696</v>
      </c>
      <c r="AI319" s="74" t="s">
        <v>215</v>
      </c>
      <c r="AJ319" s="75" t="str">
        <f>IF(TEXT(K$311,"#")=MID(K319,1,LEN(K319)-1),K$13,IF(TEXT(O$311,"#")=MID(K319,1,LEN(K319)-1),O$13,IF(TEXT(S$311,"#")=MID(K319,1,LEN(K319)-1),S$13,IF(TEXT(W$311,"#")=MID(K319,1,LEN(K319)-1),W$13,IF(TEXT(AA$311,"#")=MID(K319,1,LEN(K319)-1),AA$13,IF(TEXT(AE$311,"#")=MID(K319,1,LEN(K319)-1),AE$13,IF(TEXT(AI$311,"#")=MID(K319,1,LEN(K319)-1),AI$13,IF(TEXT(AM$311,"#")=MID(K319,1,LEN(K319)-1),AM$13,IF(TEXT(AQ$311,"#")=MID(K319,1,LEN(K319)-1),AQ$13,IF(TEXT(AU$311,"#")=MID(K319,1,LEN(K319)-1),AU$13,IF(TEXT(AY$311,"#")=MID(K319,1,LEN(K319)-1),AY$13,IF(TEXT(BC$311,"#")=MID(K319,1,LEN(K319)-1),BC$13,""))))))))))))</f>
        <v>L</v>
      </c>
      <c r="AK319" s="548" t="str">
        <f>IF(TEXT(K$311,"#")=MID(K319,1,LEN(K319)-1),K$14,IF(TEXT(O$311,"#")=MID(K319,1,LEN(K319)-1),O$14,IF(TEXT(S$311,"#")=MID(K319,1,LEN(K319)-1),S$14,IF(TEXT(W$311,"#")=MID(K319,1,LEN(K319)-1),W$14,IF(TEXT(AA$311,"#")=MID(K319,1,LEN(K319)-1),AA$14,IF(TEXT(AE$311,"#")=MID(K319,1,LEN(K319)-1),AE$14,IF(TEXT(AI$311,"#")=MID(K319,1,LEN(K319)-1),AI$14,IF(TEXT(AM$311,"#")=MID(K319,1,LEN(K319)-1),AM$14,IF(TEXT(AQ$311,"#")=MID(K319,1,LEN(K319)-1),AQ$14,IF(TEXT(AU$311,"#")=MID(K319,1,LEN(K319)-1),AU$14,IF(TEXT(AY$311,"#")=MID(K319,1,LEN(K319)-1),AY$14,IF(TEXT(BC$311,"#")=MID(K319,1,LEN(K319)-1),BC$14,""))))))))))))</f>
        <v>Massimo</v>
      </c>
      <c r="AL319" s="549"/>
      <c r="AM319" s="549"/>
      <c r="AN319" s="550"/>
      <c r="AO319" s="85">
        <f t="shared" si="330"/>
        <v>2288.971</v>
      </c>
      <c r="AP319" s="125"/>
      <c r="AQ319" s="110">
        <f t="shared" si="331"/>
        <v>0.90832182539682538</v>
      </c>
      <c r="AU319" s="187" t="s">
        <v>215</v>
      </c>
      <c r="AV319" s="188" t="str">
        <f>IF(TEXT(K$312,"#")=MID(K319,1,LEN(K319)-1),K$13,IF(TEXT(O$312,"#")=MID(K319,1,LEN(K319)-1),O$13,IF(TEXT(S$312,"#")=MID(K319,1,LEN(K319)-1),S$13,IF(TEXT(W$312,"#")=MID(K319,1,LEN(K319)-1),W$13,IF(TEXT(AA$312,"#")=MID(K319,1,LEN(K319)-1),AA$13,IF(TEXT(AE$312,"#")=MID(K319,1,LEN(K319)-1),AE$13,IF(TEXT(AI$312,"#")=MID(K319,1,LEN(K319)-1),AI$13,IF(TEXT(AM$312,"#")=MID(K319,1,LEN(K319)-1),AM$13,IF(TEXT(AQ$312,"#")=MID(K319,1,LEN(K319)-1),AQ$13,IF(TEXT(AU$312,"#")=MID(K319,1,LEN(K319)-1),AU$13,IF(TEXT(AY$312,"#")=MID(K319,1,LEN(K319)-1),AY$13,IF(TEXT(BC$312,"#")=MID(K319,1,LEN(K319)-1),BC$13,""))))))))))))</f>
        <v>I</v>
      </c>
      <c r="AW319" s="488" t="str">
        <f>IF(TEXT(K$312,"#")=MID(K319,1,LEN(K319)-1),K$14,IF(TEXT(O$312,"#")=MID(K319,1,LEN(K319)-1),O$14,IF(TEXT(S$312,"#")=MID(K319,1,LEN(K319)-1),S$14,IF(TEXT(W$312,"#")=MID(K319,1,LEN(K319)-1),W$14,IF(TEXT(AA$312,"#")=MID(K319,1,LEN(K319)-1),AA$14,IF(TEXT(AE$312,"#")=MID(K319,1,LEN(K319)-1),AE$14,IF(TEXT(AI$312,"#")=MID(K319,1,LEN(K319)-1),AI$14,IF(TEXT(AM$312,"#")=MID(K319,1,LEN(K319)-1),AM$14,IF(TEXT(AQ$312,"#")=MID(K319,1,LEN(K319)-1),AQ$14,IF(TEXT(AU$312,"#")=MID(K319,1,LEN(K319)-1),AU$14,IF(TEXT(AY$312,"#")=MID(K319,1,LEN(K319)-1),AY$14,IF(TEXT(BC$312,"#")=MID(K319,1,LEN(K319)-1),BC$14,""))))))))))))</f>
        <v>Alessandro</v>
      </c>
      <c r="AX319" s="489"/>
      <c r="AY319" s="489"/>
      <c r="AZ319" s="490"/>
      <c r="BA319" s="437">
        <f t="shared" ref="BA319:BA329" si="332">IF(TEXT(K$312,"#")=MID(K319,1,LEN(K319)-1),N$298,IF(TEXT(O$312,"#")=MID(K319,1,LEN(K319)-1),R$298,IF(TEXT(S$312,"#")=MID(K319,1,LEN(K319)-1),V$298,IF(TEXT(W$312,"#")=MID(K319,1,LEN(K319)-1),Z$298,IF(TEXT(AA$312,"#")=MID(K319,1,LEN(K319)-1),AD$298,IF(TEXT(AE$312,"#")=MID(K319,1,LEN(K319)-1),AH$298,IF(TEXT(AI$312,"#")=MID(K319,1,LEN(K319)-1),AL$298,IF(TEXT(AM$312,"#")=MID(K319,1,LEN(K319)-1),AP$298,IF(TEXT(AQ$312,"#")=MID(K319,1,LEN(K319)-1),AT$298,IF(TEXT(AU$312,"#")=MID(K319,1,LEN(K319)-1),AX$298,IF(TEXT(AY$312,"#")=MID(K319,1,LEN(K319)-1),BB$298,IF(TEXT(BC$312,"#")=MID(K319,1,LEN(K319)-1),BF$298,""))))))))))))</f>
        <v>2489.0632487810458</v>
      </c>
      <c r="BB319" s="438"/>
      <c r="BC319" s="196">
        <f t="shared" ref="BC319:BC329" si="333">IF(TEXT(K$312,"#")=MID(K319,1,LEN(K319)-1),N$305,IF(TEXT(O$312,"#")=MID(K319,1,LEN(K319)-1),R$305,IF(TEXT(S$312,"#")=MID(K319,1,LEN(K319)-1),V$305,IF(TEXT(W$312,"#")=MID(K319,1,LEN(K319)-1),Z$305,IF(TEXT(AA$312,"#")=MID(K319,1,LEN(K319)-1),AD$305,IF(TEXT(AE$312,"#")=MID(K319,1,LEN(K319)-1),AH$305,IF(TEXT(AI$312,"#")=MID(K319,1,LEN(K319)-1),AL$305,IF(TEXT(AM$312,"#")=MID(K319,1,LEN(K319)-1),AP$305,IF(TEXT(AQ$312,"#")=MID(K319,1,LEN(K319)-1),AT$305,IF(TEXT(AU$312,"#")=MID(K319,1,LEN(K319)-1),AX$305,IF(TEXT(AY$312,"#")=MID(K319,1,LEN(K319)-1),BB$305,IF(TEXT(BC$312,"#")=MID(K319,1,LEN(K319)-1),BF$305,""))))))))))))</f>
        <v>0.98772351142104986</v>
      </c>
    </row>
    <row r="320" spans="2:58" x14ac:dyDescent="0.3">
      <c r="K320" s="56" t="s">
        <v>216</v>
      </c>
      <c r="L320" s="57" t="str">
        <f>IF(TEXT(K$309,"#")=MID(K320,1,LEN(K320)-1),K$13,IF(TEXT(O$309,"#")=MID(K320,1,LEN(K320)-1),O$13,IF(TEXT(S$309,"#")=MID(K320,1,LEN(K320)-1),S$13,IF(TEXT(W$309,"#")=MID(K320,1,LEN(K320)-1),W$13,IF(TEXT(AA$309,"#")=MID(K320,1,LEN(K320)-1),AA$13,IF(TEXT(AE$309,"#")=MID(K320,1,LEN(K320)-1),AE$13,IF(TEXT(AI$309,"#")=MID(K320,1,LEN(K320)-1),AI$13,IF(TEXT(AM$309,"#")=MID(K320,1,LEN(K320)-1),AM$13,IF(TEXT(AQ$309,"#")=MID(K320,1,LEN(K320)-1),AQ$13,IF(TEXT(AU$309,"#")=MID(K320,1,LEN(K320)-1),AU$13,IF(TEXT(AY$309,"#")=MID(K320,1,LEN(K320)-1),AY$13,IF(TEXT(BC$309,"#")=MID(K320,1,LEN(K320)-1),BC$13,""))))))))))))</f>
        <v>B</v>
      </c>
      <c r="M320" s="584" t="str">
        <f>IF(TEXT(K$309,"#")=MID(K320,1,LEN(K320)-1),K$14,IF(TEXT(O$309,"#")=MID(K320,1,LEN(K320)-1),O$14,IF(TEXT(S$309,"#")=MID(K320,1,LEN(K320)-1),S$14,IF(TEXT(W$309,"#")=MID(K320,1,LEN(K320)-1),W$14,IF(TEXT(AA$309,"#")=MID(K320,1,LEN(K320)-1),AA$14,IF(TEXT(AE$309,"#")=MID(K320,1,LEN(K320)-1),AE$14,IF(TEXT(AI$309,"#")=MID(K320,1,LEN(K320)-1),AI$14,IF(TEXT(AM$309,"#")=MID(K320,1,LEN(K320)-1),AM$14,IF(TEXT(AQ$309,"#")=MID(K320,1,LEN(K320)-1),AQ$14,IF(TEXT(AU$309,"#")=MID(K320,1,LEN(K320)-1),AU$14,IF(TEXT(AY$309,"#")=MID(K320,1,LEN(K320)-1),AY$14,IF(TEXT(BC$309,"#")=MID(K320,1,LEN(K320)-1),BC$14,""))))))))))))</f>
        <v>Pietro</v>
      </c>
      <c r="N320" s="585"/>
      <c r="O320" s="585"/>
      <c r="P320" s="586"/>
      <c r="Q320" s="80">
        <f t="shared" si="326"/>
        <v>2141.982</v>
      </c>
      <c r="R320" s="119"/>
      <c r="S320" s="101">
        <f t="shared" si="327"/>
        <v>0.84999285714285711</v>
      </c>
      <c r="W320" s="65" t="s">
        <v>216</v>
      </c>
      <c r="X320" s="66" t="str">
        <f>IF(TEXT(K$310,"#")=MID(K320,1,LEN(K320)-1),K$13,IF(TEXT(O$310,"#")=MID(K320,1,LEN(K320)-1),O$13,IF(TEXT(S$310,"#")=MID(K320,1,LEN(K320)-1),S$13,IF(TEXT(W$310,"#")=MID(K320,1,LEN(K320)-1),W$13,IF(TEXT(AA$310,"#")=MID(K320,1,LEN(K320)-1),AA$13,IF(TEXT(AE$310,"#")=MID(K320,1,LEN(K320)-1),AE$13,IF(TEXT(AI$310,"#")=MID(K320,1,LEN(K320)-1),AI$13,IF(TEXT(AM$310,"#")=MID(K320,1,LEN(K320)-1),AM$13,IF(TEXT(AQ$310,"#")=MID(K320,1,LEN(K320)-1),AQ$13,IF(TEXT(AU$310,"#")=MID(K320,1,LEN(K320)-1),AU$13,IF(TEXT(AY$310,"#")=MID(K320,1,LEN(K320)-1),AY$13,IF(TEXT(BC$310,"#")=MID(K320,1,LEN(K320)-1),BC$13,""))))))))))))</f>
        <v>L</v>
      </c>
      <c r="Y320" s="673" t="str">
        <f>IF(TEXT(K$310,"#")=MID(K320,1,LEN(K320)-1),K$14,IF(TEXT(O$310,"#")=MID(K320,1,LEN(K320)-1),O$14,IF(TEXT(S$310,"#")=MID(K320,1,LEN(K320)-1),S$14,IF(TEXT(W$310,"#")=MID(K320,1,LEN(K320)-1),W$14,IF(TEXT(AA$310,"#")=MID(K320,1,LEN(K320)-1),AA$14,IF(TEXT(AE$310,"#")=MID(K320,1,LEN(K320)-1),AE$14,IF(TEXT(AI$310,"#")=MID(K320,1,LEN(K320)-1),AI$14,IF(TEXT(AM$310,"#")=MID(K320,1,LEN(K320)-1),AM$14,IF(TEXT(AQ$310,"#")=MID(K320,1,LEN(K320)-1),AQ$14,IF(TEXT(AU$310,"#")=MID(K320,1,LEN(K320)-1),AU$14,IF(TEXT(AY$310,"#")=MID(K320,1,LEN(K320)-1),AY$14,IF(TEXT(BC$310,"#")=MID(K320,1,LEN(K320)-1),BC$14,""))))))))))))</f>
        <v>Massimo</v>
      </c>
      <c r="Z320" s="673"/>
      <c r="AA320" s="673"/>
      <c r="AB320" s="673"/>
      <c r="AC320" s="83">
        <f t="shared" si="328"/>
        <v>1890</v>
      </c>
      <c r="AD320" s="122"/>
      <c r="AE320" s="104">
        <f t="shared" si="329"/>
        <v>0.75</v>
      </c>
      <c r="AI320" s="74" t="s">
        <v>216</v>
      </c>
      <c r="AJ320" s="75" t="str">
        <f>IF(TEXT(K$311,"#")=MID(K320,1,LEN(K320)-1),K$13,IF(TEXT(O$311,"#")=MID(K320,1,LEN(K320)-1),O$13,IF(TEXT(S$311,"#")=MID(K320,1,LEN(K320)-1),S$13,IF(TEXT(W$311,"#")=MID(K320,1,LEN(K320)-1),W$13,IF(TEXT(AA$311,"#")=MID(K320,1,LEN(K320)-1),AA$13,IF(TEXT(AE$311,"#")=MID(K320,1,LEN(K320)-1),AE$13,IF(TEXT(AI$311,"#")=MID(K320,1,LEN(K320)-1),AI$13,IF(TEXT(AM$311,"#")=MID(K320,1,LEN(K320)-1),AM$13,IF(TEXT(AQ$311,"#")=MID(K320,1,LEN(K320)-1),AQ$13,IF(TEXT(AU$311,"#")=MID(K320,1,LEN(K320)-1),AU$13,IF(TEXT(AY$311,"#")=MID(K320,1,LEN(K320)-1),AY$13,IF(TEXT(BC$311,"#")=MID(K320,1,LEN(K320)-1),BC$13,""))))))))))))</f>
        <v>I</v>
      </c>
      <c r="AK320" s="548" t="str">
        <f>IF(TEXT(K$311,"#")=MID(K320,1,LEN(K320)-1),K$14,IF(TEXT(O$311,"#")=MID(K320,1,LEN(K320)-1),O$14,IF(TEXT(S$311,"#")=MID(K320,1,LEN(K320)-1),S$14,IF(TEXT(W$311,"#")=MID(K320,1,LEN(K320)-1),W$14,IF(TEXT(AA$311,"#")=MID(K320,1,LEN(K320)-1),AA$14,IF(TEXT(AE$311,"#")=MID(K320,1,LEN(K320)-1),AE$14,IF(TEXT(AI$311,"#")=MID(K320,1,LEN(K320)-1),AI$14,IF(TEXT(AM$311,"#")=MID(K320,1,LEN(K320)-1),AM$14,IF(TEXT(AQ$311,"#")=MID(K320,1,LEN(K320)-1),AQ$14,IF(TEXT(AU$311,"#")=MID(K320,1,LEN(K320)-1),AU$14,IF(TEXT(AY$311,"#")=MID(K320,1,LEN(K320)-1),AY$14,IF(TEXT(BC$311,"#")=MID(K320,1,LEN(K320)-1),BC$14,""))))))))))))</f>
        <v>Alessandro</v>
      </c>
      <c r="AL320" s="549"/>
      <c r="AM320" s="549"/>
      <c r="AN320" s="550"/>
      <c r="AO320" s="85">
        <f t="shared" si="330"/>
        <v>1889.9649999999999</v>
      </c>
      <c r="AP320" s="125"/>
      <c r="AQ320" s="110">
        <f t="shared" si="331"/>
        <v>0.74998611111111113</v>
      </c>
      <c r="AU320" s="187" t="s">
        <v>216</v>
      </c>
      <c r="AV320" s="188" t="str">
        <f>IF(TEXT(K$312,"#")=MID(K320,1,LEN(K320)-1),K$13,IF(TEXT(O$312,"#")=MID(K320,1,LEN(K320)-1),O$13,IF(TEXT(S$312,"#")=MID(K320,1,LEN(K320)-1),S$13,IF(TEXT(W$312,"#")=MID(K320,1,LEN(K320)-1),W$13,IF(TEXT(AA$312,"#")=MID(K320,1,LEN(K320)-1),AA$13,IF(TEXT(AE$312,"#")=MID(K320,1,LEN(K320)-1),AE$13,IF(TEXT(AI$312,"#")=MID(K320,1,LEN(K320)-1),AI$13,IF(TEXT(AM$312,"#")=MID(K320,1,LEN(K320)-1),AM$13,IF(TEXT(AQ$312,"#")=MID(K320,1,LEN(K320)-1),AQ$13,IF(TEXT(AU$312,"#")=MID(K320,1,LEN(K320)-1),AU$13,IF(TEXT(AY$312,"#")=MID(K320,1,LEN(K320)-1),AY$13,IF(TEXT(BC$312,"#")=MID(K320,1,LEN(K320)-1),BC$13,""))))))))))))</f>
        <v>A</v>
      </c>
      <c r="AW320" s="488" t="str">
        <f>IF(TEXT(K$312,"#")=MID(K320,1,LEN(K320)-1),K$14,IF(TEXT(O$312,"#")=MID(K320,1,LEN(K320)-1),O$14,IF(TEXT(S$312,"#")=MID(K320,1,LEN(K320)-1),S$14,IF(TEXT(W$312,"#")=MID(K320,1,LEN(K320)-1),W$14,IF(TEXT(AA$312,"#")=MID(K320,1,LEN(K320)-1),AA$14,IF(TEXT(AE$312,"#")=MID(K320,1,LEN(K320)-1),AE$14,IF(TEXT(AI$312,"#")=MID(K320,1,LEN(K320)-1),AI$14,IF(TEXT(AM$312,"#")=MID(K320,1,LEN(K320)-1),AM$14,IF(TEXT(AQ$312,"#")=MID(K320,1,LEN(K320)-1),AQ$14,IF(TEXT(AU$312,"#")=MID(K320,1,LEN(K320)-1),AU$14,IF(TEXT(AY$312,"#")=MID(K320,1,LEN(K320)-1),AY$14,IF(TEXT(BC$312,"#")=MID(K320,1,LEN(K320)-1),BC$14,""))))))))))))</f>
        <v>Gianni</v>
      </c>
      <c r="AX320" s="489"/>
      <c r="AY320" s="489"/>
      <c r="AZ320" s="490"/>
      <c r="BA320" s="437">
        <f t="shared" si="332"/>
        <v>1889.9448109594646</v>
      </c>
      <c r="BB320" s="438"/>
      <c r="BC320" s="196">
        <f t="shared" si="333"/>
        <v>0.74997809958708916</v>
      </c>
    </row>
    <row r="321" spans="11:55" x14ac:dyDescent="0.3">
      <c r="K321" s="56" t="s">
        <v>217</v>
      </c>
      <c r="L321" s="57" t="str">
        <f>IF(TEXT(K$309,"#")=MID(K321,1,LEN(K321)-1),K$13,IF(TEXT(O$309,"#")=MID(K321,1,LEN(K321)-1),O$13,IF(TEXT(S$309,"#")=MID(K321,1,LEN(K321)-1),S$13,IF(TEXT(W$309,"#")=MID(K321,1,LEN(K321)-1),W$13,IF(TEXT(AA$309,"#")=MID(K321,1,LEN(K321)-1),AA$13,IF(TEXT(AE$309,"#")=MID(K321,1,LEN(K321)-1),AE$13,IF(TEXT(AI$309,"#")=MID(K321,1,LEN(K321)-1),AI$13,IF(TEXT(AM$309,"#")=MID(K321,1,LEN(K321)-1),AM$13,IF(TEXT(AQ$309,"#")=MID(K321,1,LEN(K321)-1),AQ$13,IF(TEXT(AU$309,"#")=MID(K321,1,LEN(K321)-1),AU$13,IF(TEXT(AY$309,"#")=MID(K321,1,LEN(K321)-1),AY$13,IF(TEXT(BC$309,"#")=MID(K321,1,LEN(K321)-1),BC$13,""))))))))))))</f>
        <v>H</v>
      </c>
      <c r="M321" s="584" t="str">
        <f>IF(TEXT(K$309,"#")=MID(K321,1,LEN(K321)-1),K$14,IF(TEXT(O$309,"#")=MID(K321,1,LEN(K321)-1),O$14,IF(TEXT(S$309,"#")=MID(K321,1,LEN(K321)-1),S$14,IF(TEXT(W$309,"#")=MID(K321,1,LEN(K321)-1),W$14,IF(TEXT(AA$309,"#")=MID(K321,1,LEN(K321)-1),AA$14,IF(TEXT(AE$309,"#")=MID(K321,1,LEN(K321)-1),AE$14,IF(TEXT(AI$309,"#")=MID(K321,1,LEN(K321)-1),AI$14,IF(TEXT(AM$309,"#")=MID(K321,1,LEN(K321)-1),AM$14,IF(TEXT(AQ$309,"#")=MID(K321,1,LEN(K321)-1),AQ$14,IF(TEXT(AU$309,"#")=MID(K321,1,LEN(K321)-1),AU$14,IF(TEXT(AY$309,"#")=MID(K321,1,LEN(K321)-1),AY$14,IF(TEXT(BC$309,"#")=MID(K321,1,LEN(K321)-1),BC$14,""))))))))))))</f>
        <v>Gianluca</v>
      </c>
      <c r="N321" s="585"/>
      <c r="O321" s="585"/>
      <c r="P321" s="586"/>
      <c r="Q321" s="80">
        <f t="shared" si="326"/>
        <v>2078.9859999999999</v>
      </c>
      <c r="R321" s="119"/>
      <c r="S321" s="101">
        <f t="shared" si="327"/>
        <v>0.82499444444444436</v>
      </c>
      <c r="W321" s="65" t="s">
        <v>217</v>
      </c>
      <c r="X321" s="66" t="str">
        <f>IF(TEXT(K$310,"#")=MID(K321,1,LEN(K321)-1),K$13,IF(TEXT(O$310,"#")=MID(K321,1,LEN(K321)-1),O$13,IF(TEXT(S$310,"#")=MID(K321,1,LEN(K321)-1),S$13,IF(TEXT(W$310,"#")=MID(K321,1,LEN(K321)-1),W$13,IF(TEXT(AA$310,"#")=MID(K321,1,LEN(K321)-1),AA$13,IF(TEXT(AE$310,"#")=MID(K321,1,LEN(K321)-1),AE$13,IF(TEXT(AI$310,"#")=MID(K321,1,LEN(K321)-1),AI$13,IF(TEXT(AM$310,"#")=MID(K321,1,LEN(K321)-1),AM$13,IF(TEXT(AQ$310,"#")=MID(K321,1,LEN(K321)-1),AQ$13,IF(TEXT(AU$310,"#")=MID(K321,1,LEN(K321)-1),AU$13,IF(TEXT(AY$310,"#")=MID(K321,1,LEN(K321)-1),AY$13,IF(TEXT(BC$310,"#")=MID(K321,1,LEN(K321)-1),BC$13,""))))))))))))</f>
        <v>F</v>
      </c>
      <c r="Y321" s="673" t="str">
        <f>IF(TEXT(K$310,"#")=MID(K321,1,LEN(K321)-1),K$14,IF(TEXT(O$310,"#")=MID(K321,1,LEN(K321)-1),O$14,IF(TEXT(S$310,"#")=MID(K321,1,LEN(K321)-1),S$14,IF(TEXT(W$310,"#")=MID(K321,1,LEN(K321)-1),W$14,IF(TEXT(AA$310,"#")=MID(K321,1,LEN(K321)-1),AA$14,IF(TEXT(AE$310,"#")=MID(K321,1,LEN(K321)-1),AE$14,IF(TEXT(AI$310,"#")=MID(K321,1,LEN(K321)-1),AI$14,IF(TEXT(AM$310,"#")=MID(K321,1,LEN(K321)-1),AM$14,IF(TEXT(AQ$310,"#")=MID(K321,1,LEN(K321)-1),AQ$14,IF(TEXT(AU$310,"#")=MID(K321,1,LEN(K321)-1),AU$14,IF(TEXT(AY$310,"#")=MID(K321,1,LEN(K321)-1),AY$14,IF(TEXT(BC$310,"#")=MID(K321,1,LEN(K321)-1),BC$14,""))))))))))))</f>
        <v>Camila</v>
      </c>
      <c r="Z321" s="673"/>
      <c r="AA321" s="673"/>
      <c r="AB321" s="673"/>
      <c r="AC321" s="83">
        <f t="shared" si="328"/>
        <v>1880.8959537572255</v>
      </c>
      <c r="AD321" s="122"/>
      <c r="AE321" s="104">
        <f t="shared" si="329"/>
        <v>0.74638728323699421</v>
      </c>
      <c r="AI321" s="74" t="s">
        <v>217</v>
      </c>
      <c r="AJ321" s="75" t="str">
        <f>IF(TEXT(K$311,"#")=MID(K321,1,LEN(K321)-1),K$13,IF(TEXT(O$311,"#")=MID(K321,1,LEN(K321)-1),O$13,IF(TEXT(S$311,"#")=MID(K321,1,LEN(K321)-1),S$13,IF(TEXT(W$311,"#")=MID(K321,1,LEN(K321)-1),W$13,IF(TEXT(AA$311,"#")=MID(K321,1,LEN(K321)-1),AA$13,IF(TEXT(AE$311,"#")=MID(K321,1,LEN(K321)-1),AE$13,IF(TEXT(AI$311,"#")=MID(K321,1,LEN(K321)-1),AI$13,IF(TEXT(AM$311,"#")=MID(K321,1,LEN(K321)-1),AM$13,IF(TEXT(AQ$311,"#")=MID(K321,1,LEN(K321)-1),AQ$13,IF(TEXT(AU$311,"#")=MID(K321,1,LEN(K321)-1),AU$13,IF(TEXT(AY$311,"#")=MID(K321,1,LEN(K321)-1),AY$13,IF(TEXT(BC$311,"#")=MID(K321,1,LEN(K321)-1),BC$13,""))))))))))))</f>
        <v>D</v>
      </c>
      <c r="AK321" s="548" t="str">
        <f>IF(TEXT(K$311,"#")=MID(K321,1,LEN(K321)-1),K$14,IF(TEXT(O$311,"#")=MID(K321,1,LEN(K321)-1),O$14,IF(TEXT(S$311,"#")=MID(K321,1,LEN(K321)-1),S$14,IF(TEXT(W$311,"#")=MID(K321,1,LEN(K321)-1),W$14,IF(TEXT(AA$311,"#")=MID(K321,1,LEN(K321)-1),AA$14,IF(TEXT(AE$311,"#")=MID(K321,1,LEN(K321)-1),AE$14,IF(TEXT(AI$311,"#")=MID(K321,1,LEN(K321)-1),AI$14,IF(TEXT(AM$311,"#")=MID(K321,1,LEN(K321)-1),AM$14,IF(TEXT(AQ$311,"#")=MID(K321,1,LEN(K321)-1),AQ$14,IF(TEXT(AU$311,"#")=MID(K321,1,LEN(K321)-1),AU$14,IF(TEXT(AY$311,"#")=MID(K321,1,LEN(K321)-1),AY$14,IF(TEXT(BC$311,"#")=MID(K321,1,LEN(K321)-1),BC$14,""))))))))))))</f>
        <v>Alberto</v>
      </c>
      <c r="AL321" s="549"/>
      <c r="AM321" s="549"/>
      <c r="AN321" s="550"/>
      <c r="AO321" s="85">
        <f t="shared" si="330"/>
        <v>1847.96</v>
      </c>
      <c r="AP321" s="125"/>
      <c r="AQ321" s="110">
        <f t="shared" si="331"/>
        <v>0.73331746031746037</v>
      </c>
      <c r="AU321" s="187" t="s">
        <v>217</v>
      </c>
      <c r="AV321" s="188" t="str">
        <f>IF(TEXT(K$312,"#")=MID(K321,1,LEN(K321)-1),K$13,IF(TEXT(O$312,"#")=MID(K321,1,LEN(K321)-1),O$13,IF(TEXT(S$312,"#")=MID(K321,1,LEN(K321)-1),S$13,IF(TEXT(W$312,"#")=MID(K321,1,LEN(K321)-1),W$13,IF(TEXT(AA$312,"#")=MID(K321,1,LEN(K321)-1),AA$13,IF(TEXT(AE$312,"#")=MID(K321,1,LEN(K321)-1),AE$13,IF(TEXT(AI$312,"#")=MID(K321,1,LEN(K321)-1),AI$13,IF(TEXT(AM$312,"#")=MID(K321,1,LEN(K321)-1),AM$13,IF(TEXT(AQ$312,"#")=MID(K321,1,LEN(K321)-1),AQ$13,IF(TEXT(AU$312,"#")=MID(K321,1,LEN(K321)-1),AU$13,IF(TEXT(AY$312,"#")=MID(K321,1,LEN(K321)-1),AY$13,IF(TEXT(BC$312,"#")=MID(K321,1,LEN(K321)-1),BC$13,""))))))))))))</f>
        <v>K</v>
      </c>
      <c r="AW321" s="488" t="str">
        <f>IF(TEXT(K$312,"#")=MID(K321,1,LEN(K321)-1),K$14,IF(TEXT(O$312,"#")=MID(K321,1,LEN(K321)-1),O$14,IF(TEXT(S$312,"#")=MID(K321,1,LEN(K321)-1),S$14,IF(TEXT(W$312,"#")=MID(K321,1,LEN(K321)-1),W$14,IF(TEXT(AA$312,"#")=MID(K321,1,LEN(K321)-1),AA$14,IF(TEXT(AE$312,"#")=MID(K321,1,LEN(K321)-1),AE$14,IF(TEXT(AI$312,"#")=MID(K321,1,LEN(K321)-1),AI$14,IF(TEXT(AM$312,"#")=MID(K321,1,LEN(K321)-1),AM$14,IF(TEXT(AQ$312,"#")=MID(K321,1,LEN(K321)-1),AQ$14,IF(TEXT(AU$312,"#")=MID(K321,1,LEN(K321)-1),AU$14,IF(TEXT(AY$312,"#")=MID(K321,1,LEN(K321)-1),AY$14,IF(TEXT(BC$312,"#")=MID(K321,1,LEN(K321)-1),BC$14,""))))))))))))</f>
        <v>Magda</v>
      </c>
      <c r="AX321" s="489"/>
      <c r="AY321" s="489"/>
      <c r="AZ321" s="490"/>
      <c r="BA321" s="437">
        <f t="shared" si="332"/>
        <v>1846.7116028938738</v>
      </c>
      <c r="BB321" s="438"/>
      <c r="BC321" s="196">
        <f t="shared" si="333"/>
        <v>0.7328220646404261</v>
      </c>
    </row>
    <row r="322" spans="11:55" x14ac:dyDescent="0.3">
      <c r="K322" s="56" t="s">
        <v>218</v>
      </c>
      <c r="L322" s="57" t="str">
        <f>IF(TEXT(K$309,"#")=MID(K322,1,LEN(K322)-1),K$13,IF(TEXT(O$309,"#")=MID(K322,1,LEN(K322)-1),O$13,IF(TEXT(S$309,"#")=MID(K322,1,LEN(K322)-1),S$13,IF(TEXT(W$309,"#")=MID(K322,1,LEN(K322)-1),W$13,IF(TEXT(AA$309,"#")=MID(K322,1,LEN(K322)-1),AA$13,IF(TEXT(AE$309,"#")=MID(K322,1,LEN(K322)-1),AE$13,IF(TEXT(AI$309,"#")=MID(K322,1,LEN(K322)-1),AI$13,IF(TEXT(AM$309,"#")=MID(K322,1,LEN(K322)-1),AM$13,IF(TEXT(AQ$309,"#")=MID(K322,1,LEN(K322)-1),AQ$13,IF(TEXT(AU$309,"#")=MID(K322,1,LEN(K322)-1),AU$13,IF(TEXT(AY$309,"#")=MID(K322,1,LEN(K322)-1),AY$13,IF(TEXT(BC$309,"#")=MID(K322,1,LEN(K322)-1),BC$13,""))))))))))))</f>
        <v>E</v>
      </c>
      <c r="M322" s="584" t="str">
        <f>IF(TEXT(K$309,"#")=MID(K322,1,LEN(K322)-1),K$14,IF(TEXT(O$309,"#")=MID(K322,1,LEN(K322)-1),O$14,IF(TEXT(S$309,"#")=MID(K322,1,LEN(K322)-1),S$14,IF(TEXT(W$309,"#")=MID(K322,1,LEN(K322)-1),W$14,IF(TEXT(AA$309,"#")=MID(K322,1,LEN(K322)-1),AA$14,IF(TEXT(AE$309,"#")=MID(K322,1,LEN(K322)-1),AE$14,IF(TEXT(AI$309,"#")=MID(K322,1,LEN(K322)-1),AI$14,IF(TEXT(AM$309,"#")=MID(K322,1,LEN(K322)-1),AM$14,IF(TEXT(AQ$309,"#")=MID(K322,1,LEN(K322)-1),AQ$14,IF(TEXT(AU$309,"#")=MID(K322,1,LEN(K322)-1),AU$14,IF(TEXT(AY$309,"#")=MID(K322,1,LEN(K322)-1),AY$14,IF(TEXT(BC$309,"#")=MID(K322,1,LEN(K322)-1),BC$14,""))))))))))))</f>
        <v>Stefano</v>
      </c>
      <c r="N322" s="585"/>
      <c r="O322" s="585"/>
      <c r="P322" s="586"/>
      <c r="Q322" s="80">
        <f t="shared" si="326"/>
        <v>2015.9780000000001</v>
      </c>
      <c r="R322" s="119"/>
      <c r="S322" s="101">
        <f t="shared" si="327"/>
        <v>0.79999126984126989</v>
      </c>
      <c r="W322" s="65" t="s">
        <v>218</v>
      </c>
      <c r="X322" s="66" t="str">
        <f>IF(TEXT(K$310,"#")=MID(K322,1,LEN(K322)-1),K$13,IF(TEXT(O$310,"#")=MID(K322,1,LEN(K322)-1),O$13,IF(TEXT(S$310,"#")=MID(K322,1,LEN(K322)-1),S$13,IF(TEXT(W$310,"#")=MID(K322,1,LEN(K322)-1),W$13,IF(TEXT(AA$310,"#")=MID(K322,1,LEN(K322)-1),AA$13,IF(TEXT(AE$310,"#")=MID(K322,1,LEN(K322)-1),AE$13,IF(TEXT(AI$310,"#")=MID(K322,1,LEN(K322)-1),AI$13,IF(TEXT(AM$310,"#")=MID(K322,1,LEN(K322)-1),AM$13,IF(TEXT(AQ$310,"#")=MID(K322,1,LEN(K322)-1),AQ$13,IF(TEXT(AU$310,"#")=MID(K322,1,LEN(K322)-1),AU$13,IF(TEXT(AY$310,"#")=MID(K322,1,LEN(K322)-1),AY$13,IF(TEXT(BC$310,"#")=MID(K322,1,LEN(K322)-1),BC$13,""))))))))))))</f>
        <v>J</v>
      </c>
      <c r="Y322" s="673" t="str">
        <f>IF(TEXT(K$310,"#")=MID(K322,1,LEN(K322)-1),K$14,IF(TEXT(O$310,"#")=MID(K322,1,LEN(K322)-1),O$14,IF(TEXT(S$310,"#")=MID(K322,1,LEN(K322)-1),S$14,IF(TEXT(W$310,"#")=MID(K322,1,LEN(K322)-1),W$14,IF(TEXT(AA$310,"#")=MID(K322,1,LEN(K322)-1),AA$14,IF(TEXT(AE$310,"#")=MID(K322,1,LEN(K322)-1),AE$14,IF(TEXT(AI$310,"#")=MID(K322,1,LEN(K322)-1),AI$14,IF(TEXT(AM$310,"#")=MID(K322,1,LEN(K322)-1),AM$14,IF(TEXT(AQ$310,"#")=MID(K322,1,LEN(K322)-1),AQ$14,IF(TEXT(AU$310,"#")=MID(K322,1,LEN(K322)-1),AU$14,IF(TEXT(AY$310,"#")=MID(K322,1,LEN(K322)-1),AY$14,IF(TEXT(BC$310,"#")=MID(K322,1,LEN(K322)-1),BC$14,""))))))))))))</f>
        <v>Emma</v>
      </c>
      <c r="Z322" s="673"/>
      <c r="AA322" s="673"/>
      <c r="AB322" s="673"/>
      <c r="AC322" s="83">
        <f t="shared" si="328"/>
        <v>1470</v>
      </c>
      <c r="AD322" s="122"/>
      <c r="AE322" s="104">
        <f t="shared" si="329"/>
        <v>0.58333333333333337</v>
      </c>
      <c r="AI322" s="74" t="s">
        <v>218</v>
      </c>
      <c r="AJ322" s="75" t="str">
        <f>IF(TEXT(K$311,"#")=MID(K322,1,LEN(K322)-1),K$13,IF(TEXT(O$311,"#")=MID(K322,1,LEN(K322)-1),O$13,IF(TEXT(S$311,"#")=MID(K322,1,LEN(K322)-1),S$13,IF(TEXT(W$311,"#")=MID(K322,1,LEN(K322)-1),W$13,IF(TEXT(AA$311,"#")=MID(K322,1,LEN(K322)-1),AA$13,IF(TEXT(AE$311,"#")=MID(K322,1,LEN(K322)-1),AE$13,IF(TEXT(AI$311,"#")=MID(K322,1,LEN(K322)-1),AI$13,IF(TEXT(AM$311,"#")=MID(K322,1,LEN(K322)-1),AM$13,IF(TEXT(AQ$311,"#")=MID(K322,1,LEN(K322)-1),AQ$13,IF(TEXT(AU$311,"#")=MID(K322,1,LEN(K322)-1),AU$13,IF(TEXT(AY$311,"#")=MID(K322,1,LEN(K322)-1),AY$13,IF(TEXT(BC$311,"#")=MID(K322,1,LEN(K322)-1),BC$13,""))))))))))))</f>
        <v>B</v>
      </c>
      <c r="AK322" s="548" t="str">
        <f>IF(TEXT(K$311,"#")=MID(K322,1,LEN(K322)-1),K$14,IF(TEXT(O$311,"#")=MID(K322,1,LEN(K322)-1),O$14,IF(TEXT(S$311,"#")=MID(K322,1,LEN(K322)-1),S$14,IF(TEXT(W$311,"#")=MID(K322,1,LEN(K322)-1),W$14,IF(TEXT(AA$311,"#")=MID(K322,1,LEN(K322)-1),AA$14,IF(TEXT(AE$311,"#")=MID(K322,1,LEN(K322)-1),AE$14,IF(TEXT(AI$311,"#")=MID(K322,1,LEN(K322)-1),AI$14,IF(TEXT(AM$311,"#")=MID(K322,1,LEN(K322)-1),AM$14,IF(TEXT(AQ$311,"#")=MID(K322,1,LEN(K322)-1),AQ$14,IF(TEXT(AU$311,"#")=MID(K322,1,LEN(K322)-1),AU$14,IF(TEXT(AY$311,"#")=MID(K322,1,LEN(K322)-1),AY$14,IF(TEXT(BC$311,"#")=MID(K322,1,LEN(K322)-1),BC$14,""))))))))))))</f>
        <v>Pietro</v>
      </c>
      <c r="AL322" s="549"/>
      <c r="AM322" s="549"/>
      <c r="AN322" s="550"/>
      <c r="AO322" s="85">
        <f t="shared" si="330"/>
        <v>1469.98</v>
      </c>
      <c r="AP322" s="125"/>
      <c r="AQ322" s="110">
        <f t="shared" si="331"/>
        <v>0.58332539682539686</v>
      </c>
      <c r="AU322" s="187" t="s">
        <v>218</v>
      </c>
      <c r="AV322" s="188" t="str">
        <f>IF(TEXT(K$312,"#")=MID(K322,1,LEN(K322)-1),K$13,IF(TEXT(O$312,"#")=MID(K322,1,LEN(K322)-1),O$13,IF(TEXT(S$312,"#")=MID(K322,1,LEN(K322)-1),S$13,IF(TEXT(W$312,"#")=MID(K322,1,LEN(K322)-1),W$13,IF(TEXT(AA$312,"#")=MID(K322,1,LEN(K322)-1),AA$13,IF(TEXT(AE$312,"#")=MID(K322,1,LEN(K322)-1),AE$13,IF(TEXT(AI$312,"#")=MID(K322,1,LEN(K322)-1),AI$13,IF(TEXT(AM$312,"#")=MID(K322,1,LEN(K322)-1),AM$13,IF(TEXT(AQ$312,"#")=MID(K322,1,LEN(K322)-1),AQ$13,IF(TEXT(AU$312,"#")=MID(K322,1,LEN(K322)-1),AU$13,IF(TEXT(AY$312,"#")=MID(K322,1,LEN(K322)-1),AY$13,IF(TEXT(BC$312,"#")=MID(K322,1,LEN(K322)-1),BC$13,""))))))))))))</f>
        <v>C</v>
      </c>
      <c r="AW322" s="488" t="str">
        <f>IF(TEXT(K$312,"#")=MID(K322,1,LEN(K322)-1),K$14,IF(TEXT(O$312,"#")=MID(K322,1,LEN(K322)-1),O$14,IF(TEXT(S$312,"#")=MID(K322,1,LEN(K322)-1),S$14,IF(TEXT(W$312,"#")=MID(K322,1,LEN(K322)-1),W$14,IF(TEXT(AA$312,"#")=MID(K322,1,LEN(K322)-1),AA$14,IF(TEXT(AE$312,"#")=MID(K322,1,LEN(K322)-1),AE$14,IF(TEXT(AI$312,"#")=MID(K322,1,LEN(K322)-1),AI$14,IF(TEXT(AM$312,"#")=MID(K322,1,LEN(K322)-1),AM$14,IF(TEXT(AQ$312,"#")=MID(K322,1,LEN(K322)-1),AQ$14,IF(TEXT(AU$312,"#")=MID(K322,1,LEN(K322)-1),AU$14,IF(TEXT(AY$312,"#")=MID(K322,1,LEN(K322)-1),AY$14,IF(TEXT(BC$312,"#")=MID(K322,1,LEN(K322)-1),BC$14,""))))))))))))</f>
        <v>Matheus</v>
      </c>
      <c r="AX322" s="489"/>
      <c r="AY322" s="489"/>
      <c r="AZ322" s="490"/>
      <c r="BA322" s="437">
        <f t="shared" si="332"/>
        <v>1636.7127533368985</v>
      </c>
      <c r="BB322" s="438"/>
      <c r="BC322" s="196">
        <f t="shared" si="333"/>
        <v>0.64948918783210252</v>
      </c>
    </row>
    <row r="323" spans="11:55" x14ac:dyDescent="0.3">
      <c r="K323" s="56" t="s">
        <v>219</v>
      </c>
      <c r="L323" s="57" t="str">
        <f>IF(TEXT(K$309,"#")=MID(K323,1,LEN(K323)-1),K$13,IF(TEXT(O$309,"#")=MID(K323,1,LEN(K323)-1),O$13,IF(TEXT(S$309,"#")=MID(K323,1,LEN(K323)-1),S$13,IF(TEXT(W$309,"#")=MID(K323,1,LEN(K323)-1),W$13,IF(TEXT(AA$309,"#")=MID(K323,1,LEN(K323)-1),AA$13,IF(TEXT(AE$309,"#")=MID(K323,1,LEN(K323)-1),AE$13,IF(TEXT(AI$309,"#")=MID(K323,1,LEN(K323)-1),AI$13,IF(TEXT(AM$309,"#")=MID(K323,1,LEN(K323)-1),AM$13,IF(TEXT(AQ$309,"#")=MID(K323,1,LEN(K323)-1),AQ$13,IF(TEXT(AU$309,"#")=MID(K323,1,LEN(K323)-1),AU$13,IF(TEXT(AY$309,"#")=MID(K323,1,LEN(K323)-1),AY$13,IF(TEXT(BC$309,"#")=MID(K323,1,LEN(K323)-1),BC$13,""))))))))))))</f>
        <v>A</v>
      </c>
      <c r="M323" s="584" t="str">
        <f>IF(TEXT(K$309,"#")=MID(K323,1,LEN(K323)-1),K$14,IF(TEXT(O$309,"#")=MID(K323,1,LEN(K323)-1),O$14,IF(TEXT(S$309,"#")=MID(K323,1,LEN(K323)-1),S$14,IF(TEXT(W$309,"#")=MID(K323,1,LEN(K323)-1),W$14,IF(TEXT(AA$309,"#")=MID(K323,1,LEN(K323)-1),AA$14,IF(TEXT(AE$309,"#")=MID(K323,1,LEN(K323)-1),AE$14,IF(TEXT(AI$309,"#")=MID(K323,1,LEN(K323)-1),AI$14,IF(TEXT(AM$309,"#")=MID(K323,1,LEN(K323)-1),AM$14,IF(TEXT(AQ$309,"#")=MID(K323,1,LEN(K323)-1),AQ$14,IF(TEXT(AU$309,"#")=MID(K323,1,LEN(K323)-1),AU$14,IF(TEXT(AY$309,"#")=MID(K323,1,LEN(K323)-1),AY$14,IF(TEXT(BC$309,"#")=MID(K323,1,LEN(K323)-1),BC$14,""))))))))))))</f>
        <v>Gianni</v>
      </c>
      <c r="N323" s="585"/>
      <c r="O323" s="585"/>
      <c r="P323" s="586"/>
      <c r="Q323" s="80">
        <f t="shared" si="326"/>
        <v>671.51700000000005</v>
      </c>
      <c r="R323" s="119"/>
      <c r="S323" s="101">
        <f t="shared" si="327"/>
        <v>0.26647500000000002</v>
      </c>
      <c r="W323" s="65" t="s">
        <v>219</v>
      </c>
      <c r="X323" s="66" t="str">
        <f>IF(TEXT(K$310,"#")=MID(K323,1,LEN(K323)-1),K$13,IF(TEXT(O$310,"#")=MID(K323,1,LEN(K323)-1),O$13,IF(TEXT(S$310,"#")=MID(K323,1,LEN(K323)-1),S$13,IF(TEXT(W$310,"#")=MID(K323,1,LEN(K323)-1),W$13,IF(TEXT(AA$310,"#")=MID(K323,1,LEN(K323)-1),AA$13,IF(TEXT(AE$310,"#")=MID(K323,1,LEN(K323)-1),AE$13,IF(TEXT(AI$310,"#")=MID(K323,1,LEN(K323)-1),AI$13,IF(TEXT(AM$310,"#")=MID(K323,1,LEN(K323)-1),AM$13,IF(TEXT(AQ$310,"#")=MID(K323,1,LEN(K323)-1),AQ$13,IF(TEXT(AU$310,"#")=MID(K323,1,LEN(K323)-1),AU$13,IF(TEXT(AY$310,"#")=MID(K323,1,LEN(K323)-1),AY$13,IF(TEXT(BC$310,"#")=MID(K323,1,LEN(K323)-1),BC$13,""))))))))))))</f>
        <v>I</v>
      </c>
      <c r="Y323" s="673" t="str">
        <f>IF(TEXT(K$310,"#")=MID(K323,1,LEN(K323)-1),K$14,IF(TEXT(O$310,"#")=MID(K323,1,LEN(K323)-1),O$14,IF(TEXT(S$310,"#")=MID(K323,1,LEN(K323)-1),S$14,IF(TEXT(W$310,"#")=MID(K323,1,LEN(K323)-1),W$14,IF(TEXT(AA$310,"#")=MID(K323,1,LEN(K323)-1),AA$14,IF(TEXT(AE$310,"#")=MID(K323,1,LEN(K323)-1),AE$14,IF(TEXT(AI$310,"#")=MID(K323,1,LEN(K323)-1),AI$14,IF(TEXT(AM$310,"#")=MID(K323,1,LEN(K323)-1),AM$14,IF(TEXT(AQ$310,"#")=MID(K323,1,LEN(K323)-1),AQ$14,IF(TEXT(AU$310,"#")=MID(K323,1,LEN(K323)-1),AU$14,IF(TEXT(AY$310,"#")=MID(K323,1,LEN(K323)-1),AY$14,IF(TEXT(BC$310,"#")=MID(K323,1,LEN(K323)-1),BC$14,""))))))))))))</f>
        <v>Alessandro</v>
      </c>
      <c r="Z323" s="673"/>
      <c r="AA323" s="673"/>
      <c r="AB323" s="673"/>
      <c r="AC323" s="83">
        <f t="shared" si="328"/>
        <v>1457.0949720670392</v>
      </c>
      <c r="AD323" s="122"/>
      <c r="AE323" s="104">
        <f t="shared" si="329"/>
        <v>0.57821229050279332</v>
      </c>
      <c r="AI323" s="74" t="s">
        <v>219</v>
      </c>
      <c r="AJ323" s="75" t="str">
        <f>IF(TEXT(K$311,"#")=MID(K323,1,LEN(K323)-1),K$13,IF(TEXT(O$311,"#")=MID(K323,1,LEN(K323)-1),O$13,IF(TEXT(S$311,"#")=MID(K323,1,LEN(K323)-1),S$13,IF(TEXT(W$311,"#")=MID(K323,1,LEN(K323)-1),W$13,IF(TEXT(AA$311,"#")=MID(K323,1,LEN(K323)-1),AA$13,IF(TEXT(AE$311,"#")=MID(K323,1,LEN(K323)-1),AE$13,IF(TEXT(AI$311,"#")=MID(K323,1,LEN(K323)-1),AI$13,IF(TEXT(AM$311,"#")=MID(K323,1,LEN(K323)-1),AM$13,IF(TEXT(AQ$311,"#")=MID(K323,1,LEN(K323)-1),AQ$13,IF(TEXT(AU$311,"#")=MID(K323,1,LEN(K323)-1),AU$13,IF(TEXT(AY$311,"#")=MID(K323,1,LEN(K323)-1),AY$13,IF(TEXT(BC$311,"#")=MID(K323,1,LEN(K323)-1),BC$13,""))))))))))))</f>
        <v>H</v>
      </c>
      <c r="AK323" s="548" t="str">
        <f>IF(TEXT(K$311,"#")=MID(K323,1,LEN(K323)-1),K$14,IF(TEXT(O$311,"#")=MID(K323,1,LEN(K323)-1),O$14,IF(TEXT(S$311,"#")=MID(K323,1,LEN(K323)-1),S$14,IF(TEXT(W$311,"#")=MID(K323,1,LEN(K323)-1),W$14,IF(TEXT(AA$311,"#")=MID(K323,1,LEN(K323)-1),AA$14,IF(TEXT(AE$311,"#")=MID(K323,1,LEN(K323)-1),AE$14,IF(TEXT(AI$311,"#")=MID(K323,1,LEN(K323)-1),AI$14,IF(TEXT(AM$311,"#")=MID(K323,1,LEN(K323)-1),AM$14,IF(TEXT(AQ$311,"#")=MID(K323,1,LEN(K323)-1),AQ$14,IF(TEXT(AU$311,"#")=MID(K323,1,LEN(K323)-1),AU$14,IF(TEXT(AY$311,"#")=MID(K323,1,LEN(K323)-1),AY$14,IF(TEXT(BC$311,"#")=MID(K323,1,LEN(K323)-1),BC$14,""))))))))))))</f>
        <v>Gianluca</v>
      </c>
      <c r="AL323" s="549"/>
      <c r="AM323" s="549"/>
      <c r="AN323" s="550"/>
      <c r="AO323" s="85">
        <f t="shared" si="330"/>
        <v>1385.9690000000001</v>
      </c>
      <c r="AP323" s="125"/>
      <c r="AQ323" s="110">
        <f t="shared" si="331"/>
        <v>0.54998769841269846</v>
      </c>
      <c r="AU323" s="187" t="s">
        <v>219</v>
      </c>
      <c r="AV323" s="188" t="str">
        <f>IF(TEXT(K$312,"#")=MID(K323,1,LEN(K323)-1),K$13,IF(TEXT(O$312,"#")=MID(K323,1,LEN(K323)-1),O$13,IF(TEXT(S$312,"#")=MID(K323,1,LEN(K323)-1),S$13,IF(TEXT(W$312,"#")=MID(K323,1,LEN(K323)-1),W$13,IF(TEXT(AA$312,"#")=MID(K323,1,LEN(K323)-1),AA$13,IF(TEXT(AE$312,"#")=MID(K323,1,LEN(K323)-1),AE$13,IF(TEXT(AI$312,"#")=MID(K323,1,LEN(K323)-1),AI$13,IF(TEXT(AM$312,"#")=MID(K323,1,LEN(K323)-1),AM$13,IF(TEXT(AQ$312,"#")=MID(K323,1,LEN(K323)-1),AQ$13,IF(TEXT(AU$312,"#")=MID(K323,1,LEN(K323)-1),AU$13,IF(TEXT(AY$312,"#")=MID(K323,1,LEN(K323)-1),AY$13,IF(TEXT(BC$312,"#")=MID(K323,1,LEN(K323)-1),BC$13,""))))))))))))</f>
        <v>E</v>
      </c>
      <c r="AW323" s="488" t="str">
        <f>IF(TEXT(K$312,"#")=MID(K323,1,LEN(K323)-1),K$14,IF(TEXT(O$312,"#")=MID(K323,1,LEN(K323)-1),O$14,IF(TEXT(S$312,"#")=MID(K323,1,LEN(K323)-1),S$14,IF(TEXT(W$312,"#")=MID(K323,1,LEN(K323)-1),W$14,IF(TEXT(AA$312,"#")=MID(K323,1,LEN(K323)-1),AA$14,IF(TEXT(AE$312,"#")=MID(K323,1,LEN(K323)-1),AE$14,IF(TEXT(AI$312,"#")=MID(K323,1,LEN(K323)-1),AI$14,IF(TEXT(AM$312,"#")=MID(K323,1,LEN(K323)-1),AM$14,IF(TEXT(AQ$312,"#")=MID(K323,1,LEN(K323)-1),AQ$14,IF(TEXT(AU$312,"#")=MID(K323,1,LEN(K323)-1),AU$14,IF(TEXT(AY$312,"#")=MID(K323,1,LEN(K323)-1),AY$14,IF(TEXT(BC$312,"#")=MID(K323,1,LEN(K323)-1),BC$14,""))))))))))))</f>
        <v>Stefano</v>
      </c>
      <c r="AX323" s="489"/>
      <c r="AY323" s="489"/>
      <c r="AZ323" s="490"/>
      <c r="BA323" s="437">
        <f t="shared" si="332"/>
        <v>1562.5936042053474</v>
      </c>
      <c r="BB323" s="438"/>
      <c r="BC323" s="196">
        <f t="shared" si="333"/>
        <v>0.62007682706561407</v>
      </c>
    </row>
    <row r="324" spans="11:55" x14ac:dyDescent="0.3">
      <c r="K324" s="56" t="s">
        <v>229</v>
      </c>
      <c r="L324" s="57" t="str">
        <f>IF(TEXT(K$309,"#")=MID(K324,1,LEN(K324)-1),K$13,IF(TEXT(O$309,"#")=MID(K324,1,LEN(K324)-1),O$13,IF(TEXT(S$309,"#")=MID(K324,1,LEN(K324)-1),S$13,IF(TEXT(W$309,"#")=MID(K324,1,LEN(K324)-1),W$13,IF(TEXT(AA$309,"#")=MID(K324,1,LEN(K324)-1),AA$13,IF(TEXT(AE$309,"#")=MID(K324,1,LEN(K324)-1),AE$13,IF(TEXT(AI$309,"#")=MID(K324,1,LEN(K324)-1),AI$13,IF(TEXT(AM$309,"#")=MID(K324,1,LEN(K324)-1),AM$13,IF(TEXT(AQ$309,"#")=MID(K324,1,LEN(K324)-1),AQ$13,IF(TEXT(AU$309,"#")=MID(K324,1,LEN(K324)-1),AU$13,IF(TEXT(AY$309,"#")=MID(K324,1,LEN(K324)-1),AY$13,IF(TEXT(BC$309,"#")=MID(K324,1,LEN(K324)-1),BC$13,""))))))))))))</f>
        <v>K</v>
      </c>
      <c r="M324" s="584" t="str">
        <f>IF(TEXT(K$309,"#")=MID(K324,1,LEN(K324)-1),K$14,IF(TEXT(O$309,"#")=MID(K324,1,LEN(K324)-1),O$14,IF(TEXT(S$309,"#")=MID(K324,1,LEN(K324)-1),S$14,IF(TEXT(W$309,"#")=MID(K324,1,LEN(K324)-1),W$14,IF(TEXT(AA$309,"#")=MID(K324,1,LEN(K324)-1),AA$14,IF(TEXT(AE$309,"#")=MID(K324,1,LEN(K324)-1),AE$14,IF(TEXT(AI$309,"#")=MID(K324,1,LEN(K324)-1),AI$14,IF(TEXT(AM$309,"#")=MID(K324,1,LEN(K324)-1),AM$14,IF(TEXT(AQ$309,"#")=MID(K324,1,LEN(K324)-1),AQ$14,IF(TEXT(AU$309,"#")=MID(K324,1,LEN(K324)-1),AU$14,IF(TEXT(AY$309,"#")=MID(K324,1,LEN(K324)-1),AY$14,IF(TEXT(BC$309,"#")=MID(K324,1,LEN(K324)-1),BC$14,""))))))))))))</f>
        <v>Magda</v>
      </c>
      <c r="N324" s="585"/>
      <c r="O324" s="585"/>
      <c r="P324" s="586"/>
      <c r="Q324" s="80">
        <f t="shared" si="326"/>
        <v>566.30700000000002</v>
      </c>
      <c r="R324" s="119"/>
      <c r="S324" s="101">
        <f t="shared" si="327"/>
        <v>0.22472500000000001</v>
      </c>
      <c r="W324" s="65" t="s">
        <v>229</v>
      </c>
      <c r="X324" s="66" t="str">
        <f>IF(TEXT(K$310,"#")=MID(K324,1,LEN(K324)-1),K$13,IF(TEXT(O$310,"#")=MID(K324,1,LEN(K324)-1),O$13,IF(TEXT(S$310,"#")=MID(K324,1,LEN(K324)-1),S$13,IF(TEXT(W$310,"#")=MID(K324,1,LEN(K324)-1),W$13,IF(TEXT(AA$310,"#")=MID(K324,1,LEN(K324)-1),AA$13,IF(TEXT(AE$310,"#")=MID(K324,1,LEN(K324)-1),AE$13,IF(TEXT(AI$310,"#")=MID(K324,1,LEN(K324)-1),AI$13,IF(TEXT(AM$310,"#")=MID(K324,1,LEN(K324)-1),AM$13,IF(TEXT(AQ$310,"#")=MID(K324,1,LEN(K324)-1),AQ$13,IF(TEXT(AU$310,"#")=MID(K324,1,LEN(K324)-1),AU$13,IF(TEXT(AY$310,"#")=MID(K324,1,LEN(K324)-1),AY$13,IF(TEXT(BC$310,"#")=MID(K324,1,LEN(K324)-1),BC$13,""))))))))))))</f>
        <v>G</v>
      </c>
      <c r="Y324" s="673" t="str">
        <f>IF(TEXT(K$310,"#")=MID(K324,1,LEN(K324)-1),K$14,IF(TEXT(O$310,"#")=MID(K324,1,LEN(K324)-1),O$14,IF(TEXT(S$310,"#")=MID(K324,1,LEN(K324)-1),S$14,IF(TEXT(W$310,"#")=MID(K324,1,LEN(K324)-1),W$14,IF(TEXT(AA$310,"#")=MID(K324,1,LEN(K324)-1),AA$14,IF(TEXT(AE$310,"#")=MID(K324,1,LEN(K324)-1),AE$14,IF(TEXT(AI$310,"#")=MID(K324,1,LEN(K324)-1),AI$14,IF(TEXT(AM$310,"#")=MID(K324,1,LEN(K324)-1),AM$14,IF(TEXT(AQ$310,"#")=MID(K324,1,LEN(K324)-1),AQ$14,IF(TEXT(AU$310,"#")=MID(K324,1,LEN(K324)-1),AU$14,IF(TEXT(AY$310,"#")=MID(K324,1,LEN(K324)-1),AY$14,IF(TEXT(BC$310,"#")=MID(K324,1,LEN(K324)-1),BC$14,""))))))))))))</f>
        <v>Aurelio</v>
      </c>
      <c r="Z324" s="673"/>
      <c r="AA324" s="673"/>
      <c r="AB324" s="673"/>
      <c r="AC324" s="83">
        <f t="shared" si="328"/>
        <v>737.61497179673108</v>
      </c>
      <c r="AD324" s="122"/>
      <c r="AE324" s="104">
        <f t="shared" si="329"/>
        <v>0.2927043538875917</v>
      </c>
      <c r="AI324" s="74" t="s">
        <v>229</v>
      </c>
      <c r="AJ324" s="75" t="str">
        <f>IF(TEXT(K$311,"#")=MID(K324,1,LEN(K324)-1),K$13,IF(TEXT(O$311,"#")=MID(K324,1,LEN(K324)-1),O$13,IF(TEXT(S$311,"#")=MID(K324,1,LEN(K324)-1),S$13,IF(TEXT(W$311,"#")=MID(K324,1,LEN(K324)-1),W$13,IF(TEXT(AA$311,"#")=MID(K324,1,LEN(K324)-1),AA$13,IF(TEXT(AE$311,"#")=MID(K324,1,LEN(K324)-1),AE$13,IF(TEXT(AI$311,"#")=MID(K324,1,LEN(K324)-1),AI$13,IF(TEXT(AM$311,"#")=MID(K324,1,LEN(K324)-1),AM$13,IF(TEXT(AQ$311,"#")=MID(K324,1,LEN(K324)-1),AQ$13,IF(TEXT(AU$311,"#")=MID(K324,1,LEN(K324)-1),AU$13,IF(TEXT(AY$311,"#")=MID(K324,1,LEN(K324)-1),AY$13,IF(TEXT(BC$311,"#")=MID(K324,1,LEN(K324)-1),BC$13,""))))))))))))</f>
        <v>A</v>
      </c>
      <c r="AK324" s="548" t="str">
        <f>IF(TEXT(K$311,"#")=MID(K324,1,LEN(K324)-1),K$14,IF(TEXT(O$311,"#")=MID(K324,1,LEN(K324)-1),O$14,IF(TEXT(S$311,"#")=MID(K324,1,LEN(K324)-1),S$14,IF(TEXT(W$311,"#")=MID(K324,1,LEN(K324)-1),W$14,IF(TEXT(AA$311,"#")=MID(K324,1,LEN(K324)-1),AA$14,IF(TEXT(AE$311,"#")=MID(K324,1,LEN(K324)-1),AE$14,IF(TEXT(AI$311,"#")=MID(K324,1,LEN(K324)-1),AI$14,IF(TEXT(AM$311,"#")=MID(K324,1,LEN(K324)-1),AM$14,IF(TEXT(AQ$311,"#")=MID(K324,1,LEN(K324)-1),AQ$14,IF(TEXT(AU$311,"#")=MID(K324,1,LEN(K324)-1),AU$14,IF(TEXT(AY$311,"#")=MID(K324,1,LEN(K324)-1),AY$14,IF(TEXT(BC$311,"#")=MID(K324,1,LEN(K324)-1),BC$14,""))))))))))))</f>
        <v>Gianni</v>
      </c>
      <c r="AL324" s="549"/>
      <c r="AM324" s="549"/>
      <c r="AN324" s="550"/>
      <c r="AO324" s="85">
        <f t="shared" si="330"/>
        <v>599.49</v>
      </c>
      <c r="AP324" s="125"/>
      <c r="AQ324" s="110">
        <f t="shared" si="331"/>
        <v>0.23789285714285716</v>
      </c>
      <c r="AU324" s="187" t="s">
        <v>229</v>
      </c>
      <c r="AV324" s="188" t="str">
        <f>IF(TEXT(K$312,"#")=MID(K324,1,LEN(K324)-1),K$13,IF(TEXT(O$312,"#")=MID(K324,1,LEN(K324)-1),O$13,IF(TEXT(S$312,"#")=MID(K324,1,LEN(K324)-1),S$13,IF(TEXT(W$312,"#")=MID(K324,1,LEN(K324)-1),W$13,IF(TEXT(AA$312,"#")=MID(K324,1,LEN(K324)-1),AA$13,IF(TEXT(AE$312,"#")=MID(K324,1,LEN(K324)-1),AE$13,IF(TEXT(AI$312,"#")=MID(K324,1,LEN(K324)-1),AI$13,IF(TEXT(AM$312,"#")=MID(K324,1,LEN(K324)-1),AM$13,IF(TEXT(AQ$312,"#")=MID(K324,1,LEN(K324)-1),AQ$13,IF(TEXT(AU$312,"#")=MID(K324,1,LEN(K324)-1),AU$13,IF(TEXT(AY$312,"#")=MID(K324,1,LEN(K324)-1),AY$13,IF(TEXT(BC$312,"#")=MID(K324,1,LEN(K324)-1),BC$13,""))))))))))))</f>
        <v>L</v>
      </c>
      <c r="AW324" s="488" t="str">
        <f>IF(TEXT(K$312,"#")=MID(K324,1,LEN(K324)-1),K$14,IF(TEXT(O$312,"#")=MID(K324,1,LEN(K324)-1),O$14,IF(TEXT(S$312,"#")=MID(K324,1,LEN(K324)-1),S$14,IF(TEXT(W$312,"#")=MID(K324,1,LEN(K324)-1),W$14,IF(TEXT(AA$312,"#")=MID(K324,1,LEN(K324)-1),AA$14,IF(TEXT(AE$312,"#")=MID(K324,1,LEN(K324)-1),AE$14,IF(TEXT(AI$312,"#")=MID(K324,1,LEN(K324)-1),AI$14,IF(TEXT(AM$312,"#")=MID(K324,1,LEN(K324)-1),AM$14,IF(TEXT(AQ$312,"#")=MID(K324,1,LEN(K324)-1),AQ$14,IF(TEXT(AU$312,"#")=MID(K324,1,LEN(K324)-1),AU$14,IF(TEXT(AY$312,"#")=MID(K324,1,LEN(K324)-1),AY$14,IF(TEXT(BC$312,"#")=MID(K324,1,LEN(K324)-1),BC$14,""))))))))))))</f>
        <v>Massimo</v>
      </c>
      <c r="AX324" s="489"/>
      <c r="AY324" s="489"/>
      <c r="AZ324" s="490"/>
      <c r="BA324" s="437">
        <f t="shared" si="332"/>
        <v>742.14516152639555</v>
      </c>
      <c r="BB324" s="438"/>
      <c r="BC324" s="196">
        <f t="shared" si="333"/>
        <v>0.29450204822476012</v>
      </c>
    </row>
    <row r="325" spans="11:55" x14ac:dyDescent="0.3">
      <c r="K325" s="56" t="s">
        <v>230</v>
      </c>
      <c r="L325" s="57" t="str">
        <f>IF(TEXT(K$309,"#")=MID(K325,1,LEN(K325)-1),K$13,IF(TEXT(O$309,"#")=MID(K325,1,LEN(K325)-1),O$13,IF(TEXT(S$309,"#")=MID(K325,1,LEN(K325)-1),S$13,IF(TEXT(W$309,"#")=MID(K325,1,LEN(K325)-1),W$13,IF(TEXT(AA$309,"#")=MID(K325,1,LEN(K325)-1),AA$13,IF(TEXT(AE$309,"#")=MID(K325,1,LEN(K325)-1),AE$13,IF(TEXT(AI$309,"#")=MID(K325,1,LEN(K325)-1),AI$13,IF(TEXT(AM$309,"#")=MID(K325,1,LEN(K325)-1),AM$13,IF(TEXT(AQ$309,"#")=MID(K325,1,LEN(K325)-1),AQ$13,IF(TEXT(AU$309,"#")=MID(K325,1,LEN(K325)-1),AU$13,IF(TEXT(AY$309,"#")=MID(K325,1,LEN(K325)-1),AY$13,IF(TEXT(BC$309,"#")=MID(K325,1,LEN(K325)-1),BC$13,""))))))))))))</f>
        <v>D</v>
      </c>
      <c r="M325" s="584" t="str">
        <f>IF(TEXT(K$309,"#")=MID(K325,1,LEN(K325)-1),K$14,IF(TEXT(O$309,"#")=MID(K325,1,LEN(K325)-1),O$14,IF(TEXT(S$309,"#")=MID(K325,1,LEN(K325)-1),S$14,IF(TEXT(W$309,"#")=MID(K325,1,LEN(K325)-1),W$14,IF(TEXT(AA$309,"#")=MID(K325,1,LEN(K325)-1),AA$14,IF(TEXT(AE$309,"#")=MID(K325,1,LEN(K325)-1),AE$14,IF(TEXT(AI$309,"#")=MID(K325,1,LEN(K325)-1),AI$14,IF(TEXT(AM$309,"#")=MID(K325,1,LEN(K325)-1),AM$14,IF(TEXT(AQ$309,"#")=MID(K325,1,LEN(K325)-1),AQ$14,IF(TEXT(AU$309,"#")=MID(K325,1,LEN(K325)-1),AU$14,IF(TEXT(AY$309,"#")=MID(K325,1,LEN(K325)-1),AY$14,IF(TEXT(BC$309,"#")=MID(K325,1,LEN(K325)-1),BC$14,""))))))))))))</f>
        <v>Alberto</v>
      </c>
      <c r="N325" s="585"/>
      <c r="O325" s="585"/>
      <c r="P325" s="586"/>
      <c r="Q325" s="80">
        <f t="shared" si="326"/>
        <v>545.37</v>
      </c>
      <c r="R325" s="119"/>
      <c r="S325" s="101">
        <f t="shared" si="327"/>
        <v>0.21641666666666667</v>
      </c>
      <c r="W325" s="65" t="s">
        <v>230</v>
      </c>
      <c r="X325" s="66" t="str">
        <f>IF(TEXT(K$310,"#")=MID(K325,1,LEN(K325)-1),K$13,IF(TEXT(O$310,"#")=MID(K325,1,LEN(K325)-1),O$13,IF(TEXT(S$310,"#")=MID(K325,1,LEN(K325)-1),S$13,IF(TEXT(W$310,"#")=MID(K325,1,LEN(K325)-1),W$13,IF(TEXT(AA$310,"#")=MID(K325,1,LEN(K325)-1),AA$13,IF(TEXT(AE$310,"#")=MID(K325,1,LEN(K325)-1),AE$13,IF(TEXT(AI$310,"#")=MID(K325,1,LEN(K325)-1),AI$13,IF(TEXT(AM$310,"#")=MID(K325,1,LEN(K325)-1),AM$13,IF(TEXT(AQ$310,"#")=MID(K325,1,LEN(K325)-1),AQ$13,IF(TEXT(AU$310,"#")=MID(K325,1,LEN(K325)-1),AU$13,IF(TEXT(AY$310,"#")=MID(K325,1,LEN(K325)-1),AY$13,IF(TEXT(BC$310,"#")=MID(K325,1,LEN(K325)-1),BC$13,""))))))))))))</f>
        <v>K</v>
      </c>
      <c r="Y325" s="673" t="str">
        <f>IF(TEXT(K$310,"#")=MID(K325,1,LEN(K325)-1),K$14,IF(TEXT(O$310,"#")=MID(K325,1,LEN(K325)-1),O$14,IF(TEXT(S$310,"#")=MID(K325,1,LEN(K325)-1),S$14,IF(TEXT(W$310,"#")=MID(K325,1,LEN(K325)-1),W$14,IF(TEXT(AA$310,"#")=MID(K325,1,LEN(K325)-1),AA$14,IF(TEXT(AE$310,"#")=MID(K325,1,LEN(K325)-1),AE$14,IF(TEXT(AI$310,"#")=MID(K325,1,LEN(K325)-1),AI$14,IF(TEXT(AM$310,"#")=MID(K325,1,LEN(K325)-1),AM$14,IF(TEXT(AQ$310,"#")=MID(K325,1,LEN(K325)-1),AQ$14,IF(TEXT(AU$310,"#")=MID(K325,1,LEN(K325)-1),AU$14,IF(TEXT(AY$310,"#")=MID(K325,1,LEN(K325)-1),AY$14,IF(TEXT(BC$310,"#")=MID(K325,1,LEN(K325)-1),BC$14,""))))))))))))</f>
        <v>Magda</v>
      </c>
      <c r="Z325" s="673"/>
      <c r="AA325" s="673"/>
      <c r="AB325" s="673"/>
      <c r="AC325" s="83">
        <f t="shared" si="328"/>
        <v>728.79167911430011</v>
      </c>
      <c r="AD325" s="122"/>
      <c r="AE325" s="104">
        <f t="shared" si="329"/>
        <v>0.28920304726757939</v>
      </c>
      <c r="AI325" s="74" t="s">
        <v>230</v>
      </c>
      <c r="AJ325" s="75" t="str">
        <f>IF(TEXT(K$311,"#")=MID(K325,1,LEN(K325)-1),K$13,IF(TEXT(O$311,"#")=MID(K325,1,LEN(K325)-1),O$13,IF(TEXT(S$311,"#")=MID(K325,1,LEN(K325)-1),S$13,IF(TEXT(W$311,"#")=MID(K325,1,LEN(K325)-1),W$13,IF(TEXT(AA$311,"#")=MID(K325,1,LEN(K325)-1),AA$13,IF(TEXT(AE$311,"#")=MID(K325,1,LEN(K325)-1),AE$13,IF(TEXT(AI$311,"#")=MID(K325,1,LEN(K325)-1),AI$13,IF(TEXT(AM$311,"#")=MID(K325,1,LEN(K325)-1),AM$13,IF(TEXT(AQ$311,"#")=MID(K325,1,LEN(K325)-1),AQ$13,IF(TEXT(AU$311,"#")=MID(K325,1,LEN(K325)-1),AU$13,IF(TEXT(AY$311,"#")=MID(K325,1,LEN(K325)-1),AY$13,IF(TEXT(BC$311,"#")=MID(K325,1,LEN(K325)-1),BC$13,""))))))))))))</f>
        <v>G</v>
      </c>
      <c r="AK325" s="548" t="str">
        <f>IF(TEXT(K$311,"#")=MID(K325,1,LEN(K325)-1),K$14,IF(TEXT(O$311,"#")=MID(K325,1,LEN(K325)-1),O$14,IF(TEXT(S$311,"#")=MID(K325,1,LEN(K325)-1),S$14,IF(TEXT(W$311,"#")=MID(K325,1,LEN(K325)-1),W$14,IF(TEXT(AA$311,"#")=MID(K325,1,LEN(K325)-1),AA$14,IF(TEXT(AE$311,"#")=MID(K325,1,LEN(K325)-1),AE$14,IF(TEXT(AI$311,"#")=MID(K325,1,LEN(K325)-1),AI$14,IF(TEXT(AM$311,"#")=MID(K325,1,LEN(K325)-1),AM$14,IF(TEXT(AQ$311,"#")=MID(K325,1,LEN(K325)-1),AQ$14,IF(TEXT(AU$311,"#")=MID(K325,1,LEN(K325)-1),AU$14,IF(TEXT(AY$311,"#")=MID(K325,1,LEN(K325)-1),AY$14,IF(TEXT(BC$311,"#")=MID(K325,1,LEN(K325)-1),BC$14,""))))))))))))</f>
        <v>Aurelio</v>
      </c>
      <c r="AL325" s="549"/>
      <c r="AM325" s="549"/>
      <c r="AN325" s="550"/>
      <c r="AO325" s="85">
        <f t="shared" si="330"/>
        <v>494.32499999999999</v>
      </c>
      <c r="AP325" s="125"/>
      <c r="AQ325" s="110">
        <f t="shared" si="331"/>
        <v>0.19616071428571427</v>
      </c>
      <c r="AU325" s="187" t="s">
        <v>230</v>
      </c>
      <c r="AV325" s="188" t="str">
        <f>IF(TEXT(K$312,"#")=MID(K325,1,LEN(K325)-1),K$13,IF(TEXT(O$312,"#")=MID(K325,1,LEN(K325)-1),O$13,IF(TEXT(S$312,"#")=MID(K325,1,LEN(K325)-1),S$13,IF(TEXT(W$312,"#")=MID(K325,1,LEN(K325)-1),W$13,IF(TEXT(AA$312,"#")=MID(K325,1,LEN(K325)-1),AA$13,IF(TEXT(AE$312,"#")=MID(K325,1,LEN(K325)-1),AE$13,IF(TEXT(AI$312,"#")=MID(K325,1,LEN(K325)-1),AI$13,IF(TEXT(AM$312,"#")=MID(K325,1,LEN(K325)-1),AM$13,IF(TEXT(AQ$312,"#")=MID(K325,1,LEN(K325)-1),AQ$13,IF(TEXT(AU$312,"#")=MID(K325,1,LEN(K325)-1),AU$13,IF(TEXT(AY$312,"#")=MID(K325,1,LEN(K325)-1),AY$13,IF(TEXT(BC$312,"#")=MID(K325,1,LEN(K325)-1),BC$13,""))))))))))))</f>
        <v>F</v>
      </c>
      <c r="AW325" s="488" t="str">
        <f>IF(TEXT(K$312,"#")=MID(K325,1,LEN(K325)-1),K$14,IF(TEXT(O$312,"#")=MID(K325,1,LEN(K325)-1),O$14,IF(TEXT(S$312,"#")=MID(K325,1,LEN(K325)-1),S$14,IF(TEXT(W$312,"#")=MID(K325,1,LEN(K325)-1),W$14,IF(TEXT(AA$312,"#")=MID(K325,1,LEN(K325)-1),AA$14,IF(TEXT(AE$312,"#")=MID(K325,1,LEN(K325)-1),AE$14,IF(TEXT(AI$312,"#")=MID(K325,1,LEN(K325)-1),AI$14,IF(TEXT(AM$312,"#")=MID(K325,1,LEN(K325)-1),AM$14,IF(TEXT(AQ$312,"#")=MID(K325,1,LEN(K325)-1),AQ$14,IF(TEXT(AU$312,"#")=MID(K325,1,LEN(K325)-1),AU$14,IF(TEXT(AY$312,"#")=MID(K325,1,LEN(K325)-1),AY$14,IF(TEXT(BC$312,"#")=MID(K325,1,LEN(K325)-1),BC$14,""))))))))))))</f>
        <v>Camila</v>
      </c>
      <c r="AX325" s="489"/>
      <c r="AY325" s="489"/>
      <c r="AZ325" s="490"/>
      <c r="BA325" s="437">
        <f t="shared" si="332"/>
        <v>736.46095502044534</v>
      </c>
      <c r="BB325" s="438"/>
      <c r="BC325" s="196">
        <f t="shared" si="333"/>
        <v>0.29224641072239893</v>
      </c>
    </row>
    <row r="326" spans="11:55" x14ac:dyDescent="0.3">
      <c r="K326" s="56" t="s">
        <v>231</v>
      </c>
      <c r="L326" s="57" t="str">
        <f>IF(TEXT(K$309,"#")=MID(K326,1,LEN(K326)-1),K$13,IF(TEXT(O$309,"#")=MID(K326,1,LEN(K326)-1),O$13,IF(TEXT(S$309,"#")=MID(K326,1,LEN(K326)-1),S$13,IF(TEXT(W$309,"#")=MID(K326,1,LEN(K326)-1),W$13,IF(TEXT(AA$309,"#")=MID(K326,1,LEN(K326)-1),AA$13,IF(TEXT(AE$309,"#")=MID(K326,1,LEN(K326)-1),AE$13,IF(TEXT(AI$309,"#")=MID(K326,1,LEN(K326)-1),AI$13,IF(TEXT(AM$309,"#")=MID(K326,1,LEN(K326)-1),AM$13,IF(TEXT(AQ$309,"#")=MID(K326,1,LEN(K326)-1),AQ$13,IF(TEXT(AU$309,"#")=MID(K326,1,LEN(K326)-1),AU$13,IF(TEXT(AY$309,"#")=MID(K326,1,LEN(K326)-1),AY$13,IF(TEXT(BC$309,"#")=MID(K326,1,LEN(K326)-1),BC$13,""))))))))))))</f>
        <v>J</v>
      </c>
      <c r="M326" s="584" t="str">
        <f>IF(TEXT(K$309,"#")=MID(K326,1,LEN(K326)-1),K$14,IF(TEXT(O$309,"#")=MID(K326,1,LEN(K326)-1),O$14,IF(TEXT(S$309,"#")=MID(K326,1,LEN(K326)-1),S$14,IF(TEXT(W$309,"#")=MID(K326,1,LEN(K326)-1),W$14,IF(TEXT(AA$309,"#")=MID(K326,1,LEN(K326)-1),AA$14,IF(TEXT(AE$309,"#")=MID(K326,1,LEN(K326)-1),AE$14,IF(TEXT(AI$309,"#")=MID(K326,1,LEN(K326)-1),AI$14,IF(TEXT(AM$309,"#")=MID(K326,1,LEN(K326)-1),AM$14,IF(TEXT(AQ$309,"#")=MID(K326,1,LEN(K326)-1),AQ$14,IF(TEXT(AU$309,"#")=MID(K326,1,LEN(K326)-1),AU$14,IF(TEXT(AY$309,"#")=MID(K326,1,LEN(K326)-1),AY$14,IF(TEXT(BC$309,"#")=MID(K326,1,LEN(K326)-1),BC$14,""))))))))))))</f>
        <v>Emma</v>
      </c>
      <c r="N326" s="585"/>
      <c r="O326" s="585"/>
      <c r="P326" s="586"/>
      <c r="Q326" s="80">
        <f t="shared" si="326"/>
        <v>461.41200000000003</v>
      </c>
      <c r="R326" s="119"/>
      <c r="S326" s="101">
        <f t="shared" si="327"/>
        <v>0.18310000000000001</v>
      </c>
      <c r="W326" s="65" t="s">
        <v>231</v>
      </c>
      <c r="X326" s="66" t="str">
        <f>IF(TEXT(K$310,"#")=MID(K326,1,LEN(K326)-1),K$13,IF(TEXT(O$310,"#")=MID(K326,1,LEN(K326)-1),O$13,IF(TEXT(S$310,"#")=MID(K326,1,LEN(K326)-1),S$13,IF(TEXT(W$310,"#")=MID(K326,1,LEN(K326)-1),W$13,IF(TEXT(AA$310,"#")=MID(K326,1,LEN(K326)-1),AA$13,IF(TEXT(AE$310,"#")=MID(K326,1,LEN(K326)-1),AE$13,IF(TEXT(AI$310,"#")=MID(K326,1,LEN(K326)-1),AI$13,IF(TEXT(AM$310,"#")=MID(K326,1,LEN(K326)-1),AM$13,IF(TEXT(AQ$310,"#")=MID(K326,1,LEN(K326)-1),AQ$13,IF(TEXT(AU$310,"#")=MID(K326,1,LEN(K326)-1),AU$13,IF(TEXT(AY$310,"#")=MID(K326,1,LEN(K326)-1),AY$13,IF(TEXT(BC$310,"#")=MID(K326,1,LEN(K326)-1),BC$13,""))))))))))))</f>
        <v>B</v>
      </c>
      <c r="Y326" s="673" t="str">
        <f>IF(TEXT(K$310,"#")=MID(K326,1,LEN(K326)-1),K$14,IF(TEXT(O$310,"#")=MID(K326,1,LEN(K326)-1),O$14,IF(TEXT(S$310,"#")=MID(K326,1,LEN(K326)-1),S$14,IF(TEXT(W$310,"#")=MID(K326,1,LEN(K326)-1),W$14,IF(TEXT(AA$310,"#")=MID(K326,1,LEN(K326)-1),AA$14,IF(TEXT(AE$310,"#")=MID(K326,1,LEN(K326)-1),AE$14,IF(TEXT(AI$310,"#")=MID(K326,1,LEN(K326)-1),AI$14,IF(TEXT(AM$310,"#")=MID(K326,1,LEN(K326)-1),AM$14,IF(TEXT(AQ$310,"#")=MID(K326,1,LEN(K326)-1),AQ$14,IF(TEXT(AU$310,"#")=MID(K326,1,LEN(K326)-1),AU$14,IF(TEXT(AY$310,"#")=MID(K326,1,LEN(K326)-1),AY$14,IF(TEXT(BC$310,"#")=MID(K326,1,LEN(K326)-1),BC$14,""))))))))))))</f>
        <v>Pietro</v>
      </c>
      <c r="Z326" s="673"/>
      <c r="AA326" s="673"/>
      <c r="AB326" s="673"/>
      <c r="AC326" s="83">
        <f t="shared" si="328"/>
        <v>724.53883975623478</v>
      </c>
      <c r="AD326" s="122"/>
      <c r="AE326" s="104">
        <f t="shared" si="329"/>
        <v>0.28751541260168045</v>
      </c>
      <c r="AI326" s="74" t="s">
        <v>231</v>
      </c>
      <c r="AJ326" s="75" t="str">
        <f>IF(TEXT(K$311,"#")=MID(K326,1,LEN(K326)-1),K$13,IF(TEXT(O$311,"#")=MID(K326,1,LEN(K326)-1),O$13,IF(TEXT(S$311,"#")=MID(K326,1,LEN(K326)-1),S$13,IF(TEXT(W$311,"#")=MID(K326,1,LEN(K326)-1),W$13,IF(TEXT(AA$311,"#")=MID(K326,1,LEN(K326)-1),AA$13,IF(TEXT(AE$311,"#")=MID(K326,1,LEN(K326)-1),AE$13,IF(TEXT(AI$311,"#")=MID(K326,1,LEN(K326)-1),AI$13,IF(TEXT(AM$311,"#")=MID(K326,1,LEN(K326)-1),AM$13,IF(TEXT(AQ$311,"#")=MID(K326,1,LEN(K326)-1),AQ$13,IF(TEXT(AU$311,"#")=MID(K326,1,LEN(K326)-1),AU$13,IF(TEXT(AY$311,"#")=MID(K326,1,LEN(K326)-1),AY$13,IF(TEXT(BC$311,"#")=MID(K326,1,LEN(K326)-1),BC$13,""))))))))))))</f>
        <v>C</v>
      </c>
      <c r="AK326" s="548" t="str">
        <f>IF(TEXT(K$311,"#")=MID(K326,1,LEN(K326)-1),K$14,IF(TEXT(O$311,"#")=MID(K326,1,LEN(K326)-1),O$14,IF(TEXT(S$311,"#")=MID(K326,1,LEN(K326)-1),S$14,IF(TEXT(W$311,"#")=MID(K326,1,LEN(K326)-1),W$14,IF(TEXT(AA$311,"#")=MID(K326,1,LEN(K326)-1),AA$14,IF(TEXT(AE$311,"#")=MID(K326,1,LEN(K326)-1),AE$14,IF(TEXT(AI$311,"#")=MID(K326,1,LEN(K326)-1),AI$14,IF(TEXT(AM$311,"#")=MID(K326,1,LEN(K326)-1),AM$14,IF(TEXT(AQ$311,"#")=MID(K326,1,LEN(K326)-1),AQ$14,IF(TEXT(AU$311,"#")=MID(K326,1,LEN(K326)-1),AU$14,IF(TEXT(AY$311,"#")=MID(K326,1,LEN(K326)-1),AY$14,IF(TEXT(BC$311,"#")=MID(K326,1,LEN(K326)-1),BC$14,""))))))))))))</f>
        <v>Matheus</v>
      </c>
      <c r="AL326" s="549"/>
      <c r="AM326" s="549"/>
      <c r="AN326" s="550"/>
      <c r="AO326" s="85">
        <f t="shared" si="330"/>
        <v>479.15999999999997</v>
      </c>
      <c r="AP326" s="125"/>
      <c r="AQ326" s="110">
        <f t="shared" si="331"/>
        <v>0.19014285714285714</v>
      </c>
      <c r="AU326" s="187" t="s">
        <v>231</v>
      </c>
      <c r="AV326" s="188" t="str">
        <f>IF(TEXT(K$312,"#")=MID(K326,1,LEN(K326)-1),K$13,IF(TEXT(O$312,"#")=MID(K326,1,LEN(K326)-1),O$13,IF(TEXT(S$312,"#")=MID(K326,1,LEN(K326)-1),S$13,IF(TEXT(W$312,"#")=MID(K326,1,LEN(K326)-1),W$13,IF(TEXT(AA$312,"#")=MID(K326,1,LEN(K326)-1),AA$13,IF(TEXT(AE$312,"#")=MID(K326,1,LEN(K326)-1),AE$13,IF(TEXT(AI$312,"#")=MID(K326,1,LEN(K326)-1),AI$13,IF(TEXT(AM$312,"#")=MID(K326,1,LEN(K326)-1),AM$13,IF(TEXT(AQ$312,"#")=MID(K326,1,LEN(K326)-1),AQ$13,IF(TEXT(AU$312,"#")=MID(K326,1,LEN(K326)-1),AU$13,IF(TEXT(AY$312,"#")=MID(K326,1,LEN(K326)-1),AY$13,IF(TEXT(BC$312,"#")=MID(K326,1,LEN(K326)-1),BC$13,""))))))))))))</f>
        <v>G</v>
      </c>
      <c r="AW326" s="488" t="str">
        <f>IF(TEXT(K$312,"#")=MID(K326,1,LEN(K326)-1),K$14,IF(TEXT(O$312,"#")=MID(K326,1,LEN(K326)-1),O$14,IF(TEXT(S$312,"#")=MID(K326,1,LEN(K326)-1),S$14,IF(TEXT(W$312,"#")=MID(K326,1,LEN(K326)-1),W$14,IF(TEXT(AA$312,"#")=MID(K326,1,LEN(K326)-1),AA$14,IF(TEXT(AE$312,"#")=MID(K326,1,LEN(K326)-1),AE$14,IF(TEXT(AI$312,"#")=MID(K326,1,LEN(K326)-1),AI$14,IF(TEXT(AM$312,"#")=MID(K326,1,LEN(K326)-1),AM$14,IF(TEXT(AQ$312,"#")=MID(K326,1,LEN(K326)-1),AQ$14,IF(TEXT(AU$312,"#")=MID(K326,1,LEN(K326)-1),AU$14,IF(TEXT(AY$312,"#")=MID(K326,1,LEN(K326)-1),AY$14,IF(TEXT(BC$312,"#")=MID(K326,1,LEN(K326)-1),BC$14,""))))))))))))</f>
        <v>Aurelio</v>
      </c>
      <c r="AX326" s="489"/>
      <c r="AY326" s="489"/>
      <c r="AZ326" s="490"/>
      <c r="BA326" s="437">
        <f t="shared" si="332"/>
        <v>723.83381827209541</v>
      </c>
      <c r="BB326" s="438"/>
      <c r="BC326" s="196">
        <f t="shared" si="333"/>
        <v>0.28723564217146641</v>
      </c>
    </row>
    <row r="327" spans="11:55" x14ac:dyDescent="0.3">
      <c r="K327" s="56" t="s">
        <v>232</v>
      </c>
      <c r="L327" s="57" t="str">
        <f>IF(TEXT(K$309,"#")=MID(K327,1,LEN(K327)-1),K$13,IF(TEXT(O$309,"#")=MID(K327,1,LEN(K327)-1),O$13,IF(TEXT(S$309,"#")=MID(K327,1,LEN(K327)-1),S$13,IF(TEXT(W$309,"#")=MID(K327,1,LEN(K327)-1),W$13,IF(TEXT(AA$309,"#")=MID(K327,1,LEN(K327)-1),AA$13,IF(TEXT(AE$309,"#")=MID(K327,1,LEN(K327)-1),AE$13,IF(TEXT(AI$309,"#")=MID(K327,1,LEN(K327)-1),AI$13,IF(TEXT(AM$309,"#")=MID(K327,1,LEN(K327)-1),AM$13,IF(TEXT(AQ$309,"#")=MID(K327,1,LEN(K327)-1),AQ$13,IF(TEXT(AU$309,"#")=MID(K327,1,LEN(K327)-1),AU$13,IF(TEXT(AY$309,"#")=MID(K327,1,LEN(K327)-1),AY$13,IF(TEXT(BC$309,"#")=MID(K327,1,LEN(K327)-1),BC$13,""))))))))))))</f>
        <v>C</v>
      </c>
      <c r="M327" s="584" t="str">
        <f>IF(TEXT(K$309,"#")=MID(K327,1,LEN(K327)-1),K$14,IF(TEXT(O$309,"#")=MID(K327,1,LEN(K327)-1),O$14,IF(TEXT(S$309,"#")=MID(K327,1,LEN(K327)-1),S$14,IF(TEXT(W$309,"#")=MID(K327,1,LEN(K327)-1),W$14,IF(TEXT(AA$309,"#")=MID(K327,1,LEN(K327)-1),AA$14,IF(TEXT(AE$309,"#")=MID(K327,1,LEN(K327)-1),AE$14,IF(TEXT(AI$309,"#")=MID(K327,1,LEN(K327)-1),AI$14,IF(TEXT(AM$309,"#")=MID(K327,1,LEN(K327)-1),AM$14,IF(TEXT(AQ$309,"#")=MID(K327,1,LEN(K327)-1),AQ$14,IF(TEXT(AU$309,"#")=MID(K327,1,LEN(K327)-1),AU$14,IF(TEXT(AY$309,"#")=MID(K327,1,LEN(K327)-1),AY$14,IF(TEXT(BC$309,"#")=MID(K327,1,LEN(K327)-1),BC$14,""))))))))))))</f>
        <v>Matheus</v>
      </c>
      <c r="N327" s="585"/>
      <c r="O327" s="585"/>
      <c r="P327" s="586"/>
      <c r="Q327" s="80">
        <f t="shared" si="326"/>
        <v>356.16</v>
      </c>
      <c r="R327" s="119"/>
      <c r="S327" s="101">
        <f t="shared" si="327"/>
        <v>0.14133333333333334</v>
      </c>
      <c r="W327" s="65" t="s">
        <v>232</v>
      </c>
      <c r="X327" s="66" t="str">
        <f>IF(TEXT(K$310,"#")=MID(K327,1,LEN(K327)-1),K$13,IF(TEXT(O$310,"#")=MID(K327,1,LEN(K327)-1),O$13,IF(TEXT(S$310,"#")=MID(K327,1,LEN(K327)-1),S$13,IF(TEXT(W$310,"#")=MID(K327,1,LEN(K327)-1),W$13,IF(TEXT(AA$310,"#")=MID(K327,1,LEN(K327)-1),AA$13,IF(TEXT(AE$310,"#")=MID(K327,1,LEN(K327)-1),AE$13,IF(TEXT(AI$310,"#")=MID(K327,1,LEN(K327)-1),AI$13,IF(TEXT(AM$310,"#")=MID(K327,1,LEN(K327)-1),AM$13,IF(TEXT(AQ$310,"#")=MID(K327,1,LEN(K327)-1),AQ$13,IF(TEXT(AU$310,"#")=MID(K327,1,LEN(K327)-1),AU$13,IF(TEXT(AY$310,"#")=MID(K327,1,LEN(K327)-1),AY$13,IF(TEXT(BC$310,"#")=MID(K327,1,LEN(K327)-1),BC$13,""))))))))))))</f>
        <v>C</v>
      </c>
      <c r="Y327" s="673" t="str">
        <f>IF(TEXT(K$310,"#")=MID(K327,1,LEN(K327)-1),K$14,IF(TEXT(O$310,"#")=MID(K327,1,LEN(K327)-1),O$14,IF(TEXT(S$310,"#")=MID(K327,1,LEN(K327)-1),S$14,IF(TEXT(W$310,"#")=MID(K327,1,LEN(K327)-1),W$14,IF(TEXT(AA$310,"#")=MID(K327,1,LEN(K327)-1),AA$14,IF(TEXT(AE$310,"#")=MID(K327,1,LEN(K327)-1),AE$14,IF(TEXT(AI$310,"#")=MID(K327,1,LEN(K327)-1),AI$14,IF(TEXT(AM$310,"#")=MID(K327,1,LEN(K327)-1),AM$14,IF(TEXT(AQ$310,"#")=MID(K327,1,LEN(K327)-1),AQ$14,IF(TEXT(AU$310,"#")=MID(K327,1,LEN(K327)-1),AU$14,IF(TEXT(AY$310,"#")=MID(K327,1,LEN(K327)-1),AY$14,IF(TEXT(BC$310,"#")=MID(K327,1,LEN(K327)-1),BC$14,""))))))))))))</f>
        <v>Matheus</v>
      </c>
      <c r="Z327" s="673"/>
      <c r="AA327" s="673"/>
      <c r="AB327" s="673"/>
      <c r="AC327" s="83">
        <f t="shared" si="328"/>
        <v>654.12658143263161</v>
      </c>
      <c r="AD327" s="122"/>
      <c r="AE327" s="104">
        <f t="shared" si="329"/>
        <v>0.2595740402510443</v>
      </c>
      <c r="AI327" s="74" t="s">
        <v>232</v>
      </c>
      <c r="AJ327" s="75" t="str">
        <f>IF(TEXT(K$311,"#")=MID(K327,1,LEN(K327)-1),K$13,IF(TEXT(O$311,"#")=MID(K327,1,LEN(K327)-1),O$13,IF(TEXT(S$311,"#")=MID(K327,1,LEN(K327)-1),S$13,IF(TEXT(W$311,"#")=MID(K327,1,LEN(K327)-1),W$13,IF(TEXT(AA$311,"#")=MID(K327,1,LEN(K327)-1),AA$13,IF(TEXT(AE$311,"#")=MID(K327,1,LEN(K327)-1),AE$13,IF(TEXT(AI$311,"#")=MID(K327,1,LEN(K327)-1),AI$13,IF(TEXT(AM$311,"#")=MID(K327,1,LEN(K327)-1),AM$13,IF(TEXT(AQ$311,"#")=MID(K327,1,LEN(K327)-1),AQ$13,IF(TEXT(AU$311,"#")=MID(K327,1,LEN(K327)-1),AU$13,IF(TEXT(AY$311,"#")=MID(K327,1,LEN(K327)-1),AY$13,IF(TEXT(BC$311,"#")=MID(K327,1,LEN(K327)-1),BC$13,""))))))))))))</f>
        <v>K</v>
      </c>
      <c r="AK327" s="548" t="str">
        <f>IF(TEXT(K$311,"#")=MID(K327,1,LEN(K327)-1),K$14,IF(TEXT(O$311,"#")=MID(K327,1,LEN(K327)-1),O$14,IF(TEXT(S$311,"#")=MID(K327,1,LEN(K327)-1),S$14,IF(TEXT(W$311,"#")=MID(K327,1,LEN(K327)-1),W$14,IF(TEXT(AA$311,"#")=MID(K327,1,LEN(K327)-1),AA$14,IF(TEXT(AE$311,"#")=MID(K327,1,LEN(K327)-1),AE$14,IF(TEXT(AI$311,"#")=MID(K327,1,LEN(K327)-1),AI$14,IF(TEXT(AM$311,"#")=MID(K327,1,LEN(K327)-1),AM$14,IF(TEXT(AQ$311,"#")=MID(K327,1,LEN(K327)-1),AQ$14,IF(TEXT(AU$311,"#")=MID(K327,1,LEN(K327)-1),AU$14,IF(TEXT(AY$311,"#")=MID(K327,1,LEN(K327)-1),AY$14,IF(TEXT(BC$311,"#")=MID(K327,1,LEN(K327)-1),BC$14,""))))))))))))</f>
        <v>Magda</v>
      </c>
      <c r="AL327" s="549"/>
      <c r="AM327" s="549"/>
      <c r="AN327" s="550"/>
      <c r="AO327" s="85">
        <f t="shared" si="330"/>
        <v>344.23500000000001</v>
      </c>
      <c r="AP327" s="125"/>
      <c r="AQ327" s="110">
        <f t="shared" si="331"/>
        <v>0.13660119047619049</v>
      </c>
      <c r="AU327" s="187" t="s">
        <v>232</v>
      </c>
      <c r="AV327" s="188" t="str">
        <f>IF(TEXT(K$312,"#")=MID(K327,1,LEN(K327)-1),K$13,IF(TEXT(O$312,"#")=MID(K327,1,LEN(K327)-1),O$13,IF(TEXT(S$312,"#")=MID(K327,1,LEN(K327)-1),S$13,IF(TEXT(W$312,"#")=MID(K327,1,LEN(K327)-1),W$13,IF(TEXT(AA$312,"#")=MID(K327,1,LEN(K327)-1),AA$13,IF(TEXT(AE$312,"#")=MID(K327,1,LEN(K327)-1),AE$13,IF(TEXT(AI$312,"#")=MID(K327,1,LEN(K327)-1),AI$13,IF(TEXT(AM$312,"#")=MID(K327,1,LEN(K327)-1),AM$13,IF(TEXT(AQ$312,"#")=MID(K327,1,LEN(K327)-1),AQ$13,IF(TEXT(AU$312,"#")=MID(K327,1,LEN(K327)-1),AU$13,IF(TEXT(AY$312,"#")=MID(K327,1,LEN(K327)-1),AY$13,IF(TEXT(BC$312,"#")=MID(K327,1,LEN(K327)-1),BC$13,""))))))))))))</f>
        <v>H</v>
      </c>
      <c r="AW327" s="488" t="str">
        <f>IF(TEXT(K$312,"#")=MID(K327,1,LEN(K327)-1),K$14,IF(TEXT(O$312,"#")=MID(K327,1,LEN(K327)-1),O$14,IF(TEXT(S$312,"#")=MID(K327,1,LEN(K327)-1),S$14,IF(TEXT(W$312,"#")=MID(K327,1,LEN(K327)-1),W$14,IF(TEXT(AA$312,"#")=MID(K327,1,LEN(K327)-1),AA$14,IF(TEXT(AE$312,"#")=MID(K327,1,LEN(K327)-1),AE$14,IF(TEXT(AI$312,"#")=MID(K327,1,LEN(K327)-1),AI$14,IF(TEXT(AM$312,"#")=MID(K327,1,LEN(K327)-1),AM$14,IF(TEXT(AQ$312,"#")=MID(K327,1,LEN(K327)-1),AQ$14,IF(TEXT(AU$312,"#")=MID(K327,1,LEN(K327)-1),AU$14,IF(TEXT(AY$312,"#")=MID(K327,1,LEN(K327)-1),AY$14,IF(TEXT(BC$312,"#")=MID(K327,1,LEN(K327)-1),BC$14,""))))))))))))</f>
        <v>Gianluca</v>
      </c>
      <c r="AX327" s="489"/>
      <c r="AY327" s="489"/>
      <c r="AZ327" s="490"/>
      <c r="BA327" s="437">
        <f t="shared" si="332"/>
        <v>648.73254990118573</v>
      </c>
      <c r="BB327" s="438"/>
      <c r="BC327" s="196">
        <f t="shared" si="333"/>
        <v>0.25743355154808956</v>
      </c>
    </row>
    <row r="328" spans="11:55" x14ac:dyDescent="0.3">
      <c r="K328" s="56" t="s">
        <v>233</v>
      </c>
      <c r="L328" s="57" t="str">
        <f>IF(TEXT(K$309,"#")=MID(K328,1,LEN(K328)-1),K$13,IF(TEXT(O$309,"#")=MID(K328,1,LEN(K328)-1),O$13,IF(TEXT(S$309,"#")=MID(K328,1,LEN(K328)-1),S$13,IF(TEXT(W$309,"#")=MID(K328,1,LEN(K328)-1),W$13,IF(TEXT(AA$309,"#")=MID(K328,1,LEN(K328)-1),AA$13,IF(TEXT(AE$309,"#")=MID(K328,1,LEN(K328)-1),AE$13,IF(TEXT(AI$309,"#")=MID(K328,1,LEN(K328)-1),AI$13,IF(TEXT(AM$309,"#")=MID(K328,1,LEN(K328)-1),AM$13,IF(TEXT(AQ$309,"#")=MID(K328,1,LEN(K328)-1),AQ$13,IF(TEXT(AU$309,"#")=MID(K328,1,LEN(K328)-1),AU$13,IF(TEXT(AY$309,"#")=MID(K328,1,LEN(K328)-1),AY$13,IF(TEXT(BC$309,"#")=MID(K328,1,LEN(K328)-1),BC$13,""))))))))))))</f>
        <v>F</v>
      </c>
      <c r="M328" s="584" t="str">
        <f>IF(TEXT(K$309,"#")=MID(K328,1,LEN(K328)-1),K$14,IF(TEXT(O$309,"#")=MID(K328,1,LEN(K328)-1),O$14,IF(TEXT(S$309,"#")=MID(K328,1,LEN(K328)-1),S$14,IF(TEXT(W$309,"#")=MID(K328,1,LEN(K328)-1),W$14,IF(TEXT(AA$309,"#")=MID(K328,1,LEN(K328)-1),AA$14,IF(TEXT(AE$309,"#")=MID(K328,1,LEN(K328)-1),AE$14,IF(TEXT(AI$309,"#")=MID(K328,1,LEN(K328)-1),AI$14,IF(TEXT(AM$309,"#")=MID(K328,1,LEN(K328)-1),AM$14,IF(TEXT(AQ$309,"#")=MID(K328,1,LEN(K328)-1),AQ$14,IF(TEXT(AU$309,"#")=MID(K328,1,LEN(K328)-1),AU$14,IF(TEXT(AY$309,"#")=MID(K328,1,LEN(K328)-1),AY$14,IF(TEXT(BC$309,"#")=MID(K328,1,LEN(K328)-1),BC$14,""))))))))))))</f>
        <v>Camila</v>
      </c>
      <c r="N328" s="585"/>
      <c r="O328" s="585"/>
      <c r="P328" s="586"/>
      <c r="Q328" s="80">
        <f t="shared" si="326"/>
        <v>314.24400000000003</v>
      </c>
      <c r="R328" s="119"/>
      <c r="S328" s="101">
        <f t="shared" si="327"/>
        <v>0.12470000000000001</v>
      </c>
      <c r="W328" s="65" t="s">
        <v>233</v>
      </c>
      <c r="X328" s="66" t="str">
        <f>IF(TEXT(K$310,"#")=MID(K328,1,LEN(K328)-1),K$13,IF(TEXT(O$310,"#")=MID(K328,1,LEN(K328)-1),O$13,IF(TEXT(S$310,"#")=MID(K328,1,LEN(K328)-1),S$13,IF(TEXT(W$310,"#")=MID(K328,1,LEN(K328)-1),W$13,IF(TEXT(AA$310,"#")=MID(K328,1,LEN(K328)-1),AA$13,IF(TEXT(AE$310,"#")=MID(K328,1,LEN(K328)-1),AE$13,IF(TEXT(AI$310,"#")=MID(K328,1,LEN(K328)-1),AI$13,IF(TEXT(AM$310,"#")=MID(K328,1,LEN(K328)-1),AM$13,IF(TEXT(AQ$310,"#")=MID(K328,1,LEN(K328)-1),AQ$13,IF(TEXT(AU$310,"#")=MID(K328,1,LEN(K328)-1),AU$13,IF(TEXT(AY$310,"#")=MID(K328,1,LEN(K328)-1),AY$13,IF(TEXT(BC$310,"#")=MID(K328,1,LEN(K328)-1),BC$13,""))))))))))))</f>
        <v>H</v>
      </c>
      <c r="Y328" s="673" t="str">
        <f>IF(TEXT(K$310,"#")=MID(K328,1,LEN(K328)-1),K$14,IF(TEXT(O$310,"#")=MID(K328,1,LEN(K328)-1),O$14,IF(TEXT(S$310,"#")=MID(K328,1,LEN(K328)-1),S$14,IF(TEXT(W$310,"#")=MID(K328,1,LEN(K328)-1),W$14,IF(TEXT(AA$310,"#")=MID(K328,1,LEN(K328)-1),AA$14,IF(TEXT(AE$310,"#")=MID(K328,1,LEN(K328)-1),AE$14,IF(TEXT(AI$310,"#")=MID(K328,1,LEN(K328)-1),AI$14,IF(TEXT(AM$310,"#")=MID(K328,1,LEN(K328)-1),AM$14,IF(TEXT(AQ$310,"#")=MID(K328,1,LEN(K328)-1),AQ$14,IF(TEXT(AU$310,"#")=MID(K328,1,LEN(K328)-1),AU$14,IF(TEXT(AY$310,"#")=MID(K328,1,LEN(K328)-1),AY$14,IF(TEXT(BC$310,"#")=MID(K328,1,LEN(K328)-1),BC$14,""))))))))))))</f>
        <v>Gianluca</v>
      </c>
      <c r="Z328" s="673"/>
      <c r="AA328" s="673"/>
      <c r="AB328" s="673"/>
      <c r="AC328" s="83">
        <f t="shared" si="328"/>
        <v>626.51677497358287</v>
      </c>
      <c r="AD328" s="122"/>
      <c r="AE328" s="104">
        <f t="shared" si="329"/>
        <v>0.24861776784665987</v>
      </c>
      <c r="AI328" s="74" t="s">
        <v>233</v>
      </c>
      <c r="AJ328" s="75" t="str">
        <f>IF(TEXT(K$311,"#")=MID(K328,1,LEN(K328)-1),K$13,IF(TEXT(O$311,"#")=MID(K328,1,LEN(K328)-1),O$13,IF(TEXT(S$311,"#")=MID(K328,1,LEN(K328)-1),S$13,IF(TEXT(W$311,"#")=MID(K328,1,LEN(K328)-1),W$13,IF(TEXT(AA$311,"#")=MID(K328,1,LEN(K328)-1),AA$13,IF(TEXT(AE$311,"#")=MID(K328,1,LEN(K328)-1),AE$13,IF(TEXT(AI$311,"#")=MID(K328,1,LEN(K328)-1),AI$13,IF(TEXT(AM$311,"#")=MID(K328,1,LEN(K328)-1),AM$13,IF(TEXT(AQ$311,"#")=MID(K328,1,LEN(K328)-1),AQ$13,IF(TEXT(AU$311,"#")=MID(K328,1,LEN(K328)-1),AU$13,IF(TEXT(AY$311,"#")=MID(K328,1,LEN(K328)-1),AY$13,IF(TEXT(BC$311,"#")=MID(K328,1,LEN(K328)-1),BC$13,""))))))))))))</f>
        <v>F</v>
      </c>
      <c r="AK328" s="548" t="str">
        <f>IF(TEXT(K$311,"#")=MID(K328,1,LEN(K328)-1),K$14,IF(TEXT(O$311,"#")=MID(K328,1,LEN(K328)-1),O$14,IF(TEXT(S$311,"#")=MID(K328,1,LEN(K328)-1),S$14,IF(TEXT(W$311,"#")=MID(K328,1,LEN(K328)-1),W$14,IF(TEXT(AA$311,"#")=MID(K328,1,LEN(K328)-1),AA$14,IF(TEXT(AE$311,"#")=MID(K328,1,LEN(K328)-1),AE$14,IF(TEXT(AI$311,"#")=MID(K328,1,LEN(K328)-1),AI$14,IF(TEXT(AM$311,"#")=MID(K328,1,LEN(K328)-1),AM$14,IF(TEXT(AQ$311,"#")=MID(K328,1,LEN(K328)-1),AQ$14,IF(TEXT(AU$311,"#")=MID(K328,1,LEN(K328)-1),AU$14,IF(TEXT(AY$311,"#")=MID(K328,1,LEN(K328)-1),AY$14,IF(TEXT(BC$311,"#")=MID(K328,1,LEN(K328)-1),BC$14,""))))))))))))</f>
        <v>Camila</v>
      </c>
      <c r="AL328" s="549"/>
      <c r="AM328" s="549"/>
      <c r="AN328" s="550"/>
      <c r="AO328" s="85">
        <f t="shared" si="330"/>
        <v>299.15999999999997</v>
      </c>
      <c r="AP328" s="125"/>
      <c r="AQ328" s="110">
        <f t="shared" si="331"/>
        <v>0.1187142857142857</v>
      </c>
      <c r="AU328" s="187" t="s">
        <v>233</v>
      </c>
      <c r="AV328" s="188" t="str">
        <f>IF(TEXT(K$312,"#")=MID(K328,1,LEN(K328)-1),K$13,IF(TEXT(O$312,"#")=MID(K328,1,LEN(K328)-1),O$13,IF(TEXT(S$312,"#")=MID(K328,1,LEN(K328)-1),S$13,IF(TEXT(W$312,"#")=MID(K328,1,LEN(K328)-1),W$13,IF(TEXT(AA$312,"#")=MID(K328,1,LEN(K328)-1),AA$13,IF(TEXT(AE$312,"#")=MID(K328,1,LEN(K328)-1),AE$13,IF(TEXT(AI$312,"#")=MID(K328,1,LEN(K328)-1),AI$13,IF(TEXT(AM$312,"#")=MID(K328,1,LEN(K328)-1),AM$13,IF(TEXT(AQ$312,"#")=MID(K328,1,LEN(K328)-1),AQ$13,IF(TEXT(AU$312,"#")=MID(K328,1,LEN(K328)-1),AU$13,IF(TEXT(AY$312,"#")=MID(K328,1,LEN(K328)-1),AY$13,IF(TEXT(BC$312,"#")=MID(K328,1,LEN(K328)-1),BC$13,""))))))))))))</f>
        <v>B</v>
      </c>
      <c r="AW328" s="488" t="str">
        <f>IF(TEXT(K$312,"#")=MID(K328,1,LEN(K328)-1),K$14,IF(TEXT(O$312,"#")=MID(K328,1,LEN(K328)-1),O$14,IF(TEXT(S$312,"#")=MID(K328,1,LEN(K328)-1),S$14,IF(TEXT(W$312,"#")=MID(K328,1,LEN(K328)-1),W$14,IF(TEXT(AA$312,"#")=MID(K328,1,LEN(K328)-1),AA$14,IF(TEXT(AE$312,"#")=MID(K328,1,LEN(K328)-1),AE$14,IF(TEXT(AI$312,"#")=MID(K328,1,LEN(K328)-1),AI$14,IF(TEXT(AM$312,"#")=MID(K328,1,LEN(K328)-1),AM$14,IF(TEXT(AQ$312,"#")=MID(K328,1,LEN(K328)-1),AQ$14,IF(TEXT(AU$312,"#")=MID(K328,1,LEN(K328)-1),AU$14,IF(TEXT(AY$312,"#")=MID(K328,1,LEN(K328)-1),AY$14,IF(TEXT(BC$312,"#")=MID(K328,1,LEN(K328)-1),BC$14,""))))))))))))</f>
        <v>Pietro</v>
      </c>
      <c r="AX328" s="489"/>
      <c r="AY328" s="489"/>
      <c r="AZ328" s="490"/>
      <c r="BA328" s="437">
        <f t="shared" si="332"/>
        <v>646.46249999999998</v>
      </c>
      <c r="BB328" s="438"/>
      <c r="BC328" s="196">
        <f t="shared" si="333"/>
        <v>0.25653273809523808</v>
      </c>
    </row>
    <row r="329" spans="11:55" ht="14.5" thickBot="1" x14ac:dyDescent="0.35">
      <c r="K329" s="59" t="s">
        <v>234</v>
      </c>
      <c r="L329" s="60" t="str">
        <f>IF(TEXT(K$309,"#")=MID(K329,1,LEN(K329)-1),K$13,IF(TEXT(O$309,"#")=MID(K329,1,LEN(K329)-1),O$13,IF(TEXT(S$309,"#")=MID(K329,1,LEN(K329)-1),S$13,IF(TEXT(W$309,"#")=MID(K329,1,LEN(K329)-1),W$13,IF(TEXT(AA$309,"#")=MID(K329,1,LEN(K329)-1),AA$13,IF(TEXT(AE$309,"#")=MID(K329,1,LEN(K329)-1),AE$13,IF(TEXT(AI$309,"#")=MID(K329,1,LEN(K329)-1),AI$13,IF(TEXT(AM$309,"#")=MID(K329,1,LEN(K329)-1),AM$13,IF(TEXT(AQ$309,"#")=MID(K329,1,LEN(K329)-1),AQ$13,IF(TEXT(AU$309,"#")=MID(K329,1,LEN(K329)-1),AU$13,IF(TEXT(AY$309,"#")=MID(K329,1,LEN(K329)-1),AY$13,IF(TEXT(BC$309,"#")=MID(K329,1,LEN(K329)-1),BC$13,""))))))))))))</f>
        <v>G</v>
      </c>
      <c r="M329" s="587" t="str">
        <f>IF(TEXT(K$309,"#")=MID(K329,1,LEN(K329)-1),K$14,IF(TEXT(O$309,"#")=MID(K329,1,LEN(K329)-1),O$14,IF(TEXT(S$309,"#")=MID(K329,1,LEN(K329)-1),S$14,IF(TEXT(W$309,"#")=MID(K329,1,LEN(K329)-1),W$14,IF(TEXT(AA$309,"#")=MID(K329,1,LEN(K329)-1),AA$14,IF(TEXT(AE$309,"#")=MID(K329,1,LEN(K329)-1),AE$14,IF(TEXT(AI$309,"#")=MID(K329,1,LEN(K329)-1),AI$14,IF(TEXT(AM$309,"#")=MID(K329,1,LEN(K329)-1),AM$14,IF(TEXT(AQ$309,"#")=MID(K329,1,LEN(K329)-1),AQ$14,IF(TEXT(AU$309,"#")=MID(K329,1,LEN(K329)-1),AU$14,IF(TEXT(AY$309,"#")=MID(K329,1,LEN(K329)-1),AY$14,IF(TEXT(BC$309,"#")=MID(K329,1,LEN(K329)-1),BC$14,""))))))))))))</f>
        <v>Aurelio</v>
      </c>
      <c r="N329" s="588"/>
      <c r="O329" s="588"/>
      <c r="P329" s="589"/>
      <c r="Q329" s="81">
        <f t="shared" si="326"/>
        <v>167.18100000000001</v>
      </c>
      <c r="R329" s="120"/>
      <c r="S329" s="102">
        <f t="shared" si="327"/>
        <v>6.6341666666666674E-2</v>
      </c>
      <c r="W329" s="68" t="s">
        <v>234</v>
      </c>
      <c r="X329" s="69" t="str">
        <f>IF(TEXT(K$310,"#")=MID(K329,1,LEN(K329)-1),K$13,IF(TEXT(O$310,"#")=MID(K329,1,LEN(K329)-1),O$13,IF(TEXT(S$310,"#")=MID(K329,1,LEN(K329)-1),S$13,IF(TEXT(W$310,"#")=MID(K329,1,LEN(K329)-1),W$13,IF(TEXT(AA$310,"#")=MID(K329,1,LEN(K329)-1),AA$13,IF(TEXT(AE$310,"#")=MID(K329,1,LEN(K329)-1),AE$13,IF(TEXT(AI$310,"#")=MID(K329,1,LEN(K329)-1),AI$13,IF(TEXT(AM$310,"#")=MID(K329,1,LEN(K329)-1),AM$13,IF(TEXT(AQ$310,"#")=MID(K329,1,LEN(K329)-1),AQ$13,IF(TEXT(AU$310,"#")=MID(K329,1,LEN(K329)-1),AU$13,IF(TEXT(AY$310,"#")=MID(K329,1,LEN(K329)-1),AY$13,IF(TEXT(BC$310,"#")=MID(K329,1,LEN(K329)-1),BC$13,""))))))))))))</f>
        <v>D</v>
      </c>
      <c r="Y329" s="686" t="str">
        <f>IF(TEXT(K$310,"#")=MID(K329,1,LEN(K329)-1),K$14,IF(TEXT(O$310,"#")=MID(K329,1,LEN(K329)-1),O$14,IF(TEXT(S$310,"#")=MID(K329,1,LEN(K329)-1),S$14,IF(TEXT(W$310,"#")=MID(K329,1,LEN(K329)-1),W$14,IF(TEXT(AA$310,"#")=MID(K329,1,LEN(K329)-1),AA$14,IF(TEXT(AE$310,"#")=MID(K329,1,LEN(K329)-1),AE$14,IF(TEXT(AI$310,"#")=MID(K329,1,LEN(K329)-1),AI$14,IF(TEXT(AM$310,"#")=MID(K329,1,LEN(K329)-1),AM$14,IF(TEXT(AQ$310,"#")=MID(K329,1,LEN(K329)-1),AQ$14,IF(TEXT(AU$310,"#")=MID(K329,1,LEN(K329)-1),AU$14,IF(TEXT(AY$310,"#")=MID(K329,1,LEN(K329)-1),AY$14,IF(TEXT(BC$310,"#")=MID(K329,1,LEN(K329)-1),BC$14,""))))))))))))</f>
        <v>Alberto</v>
      </c>
      <c r="Z329" s="687"/>
      <c r="AA329" s="687"/>
      <c r="AB329" s="688"/>
      <c r="AC329" s="84">
        <f t="shared" si="328"/>
        <v>622.89506081538332</v>
      </c>
      <c r="AD329" s="123"/>
      <c r="AE329" s="105">
        <f t="shared" si="329"/>
        <v>0.24718057968864418</v>
      </c>
      <c r="AI329" s="77" t="s">
        <v>234</v>
      </c>
      <c r="AJ329" s="86" t="str">
        <f>IF(TEXT(K$311,"#")=MID(K329,1,LEN(K329)-1),K$13,IF(TEXT(O$311,"#")=MID(K329,1,LEN(K329)-1),O$13,IF(TEXT(S$311,"#")=MID(K329,1,LEN(K329)-1),S$13,IF(TEXT(W$311,"#")=MID(K329,1,LEN(K329)-1),W$13,IF(TEXT(AA$311,"#")=MID(K329,1,LEN(K329)-1),AA$13,IF(TEXT(AE$311,"#")=MID(K329,1,LEN(K329)-1),AE$13,IF(TEXT(AI$311,"#")=MID(K329,1,LEN(K329)-1),AI$13,IF(TEXT(AM$311,"#")=MID(K329,1,LEN(K329)-1),AM$13,IF(TEXT(AQ$311,"#")=MID(K329,1,LEN(K329)-1),AQ$13,IF(TEXT(AU$311,"#")=MID(K329,1,LEN(K329)-1),AU$13,IF(TEXT(AY$311,"#")=MID(K329,1,LEN(K329)-1),AY$13,IF(TEXT(BC$311,"#")=MID(K329,1,LEN(K329)-1),BC$13,""))))))))))))</f>
        <v>J</v>
      </c>
      <c r="AK329" s="551" t="str">
        <f>IF(TEXT(K$311,"#")=MID(K329,1,LEN(K329)-1),K$14,IF(TEXT(O$311,"#")=MID(K329,1,LEN(K329)-1),O$14,IF(TEXT(S$311,"#")=MID(K329,1,LEN(K329)-1),S$14,IF(TEXT(W$311,"#")=MID(K329,1,LEN(K329)-1),W$14,IF(TEXT(AA$311,"#")=MID(K329,1,LEN(K329)-1),AA$14,IF(TEXT(AE$311,"#")=MID(K329,1,LEN(K329)-1),AE$14,IF(TEXT(AI$311,"#")=MID(K329,1,LEN(K329)-1),AI$14,IF(TEXT(AM$311,"#")=MID(K329,1,LEN(K329)-1),AM$14,IF(TEXT(AQ$311,"#")=MID(K329,1,LEN(K329)-1),AQ$14,IF(TEXT(AU$311,"#")=MID(K329,1,LEN(K329)-1),AU$14,IF(TEXT(AY$311,"#")=MID(K329,1,LEN(K329)-1),AY$14,IF(TEXT(BC$311,"#")=MID(K329,1,LEN(K329)-1),BC$14,""))))))))))))</f>
        <v>Emma</v>
      </c>
      <c r="AL329" s="552"/>
      <c r="AM329" s="552"/>
      <c r="AN329" s="553"/>
      <c r="AO329" s="87">
        <f t="shared" si="330"/>
        <v>209.16000000000003</v>
      </c>
      <c r="AP329" s="126"/>
      <c r="AQ329" s="111">
        <f t="shared" si="331"/>
        <v>8.3000000000000004E-2</v>
      </c>
      <c r="AU329" s="189" t="s">
        <v>234</v>
      </c>
      <c r="AV329" s="190" t="str">
        <f>IF(TEXT(K$312,"#")=MID(K329,1,LEN(K329)-1),K$13,IF(TEXT(O$312,"#")=MID(K329,1,LEN(K329)-1),O$13,IF(TEXT(S$312,"#")=MID(K329,1,LEN(K329)-1),S$13,IF(TEXT(W$312,"#")=MID(K329,1,LEN(K329)-1),W$13,IF(TEXT(AA$312,"#")=MID(K329,1,LEN(K329)-1),AA$13,IF(TEXT(AE$312,"#")=MID(K329,1,LEN(K329)-1),AE$13,IF(TEXT(AI$312,"#")=MID(K329,1,LEN(K329)-1),AI$13,IF(TEXT(AM$312,"#")=MID(K329,1,LEN(K329)-1),AM$13,IF(TEXT(AQ$312,"#")=MID(K329,1,LEN(K329)-1),AQ$13,IF(TEXT(AU$312,"#")=MID(K329,1,LEN(K329)-1),AU$13,IF(TEXT(AY$312,"#")=MID(K329,1,LEN(K329)-1),AY$13,IF(TEXT(BC$312,"#")=MID(K329,1,LEN(K329)-1),BC$13,""))))))))))))</f>
        <v>J</v>
      </c>
      <c r="AW329" s="491" t="str">
        <f>IF(TEXT(K$312,"#")=MID(K329,1,LEN(K329)-1),K$14,IF(TEXT(O$312,"#")=MID(K329,1,LEN(K329)-1),O$14,IF(TEXT(S$312,"#")=MID(K329,1,LEN(K329)-1),S$14,IF(TEXT(W$312,"#")=MID(K329,1,LEN(K329)-1),W$14,IF(TEXT(AA$312,"#")=MID(K329,1,LEN(K329)-1),AA$14,IF(TEXT(AE$312,"#")=MID(K329,1,LEN(K329)-1),AE$14,IF(TEXT(AI$312,"#")=MID(K329,1,LEN(K329)-1),AI$14,IF(TEXT(AM$312,"#")=MID(K329,1,LEN(K329)-1),AM$14,IF(TEXT(AQ$312,"#")=MID(K329,1,LEN(K329)-1),AQ$14,IF(TEXT(AU$312,"#")=MID(K329,1,LEN(K329)-1),AU$14,IF(TEXT(AY$312,"#")=MID(K329,1,LEN(K329)-1),AY$14,IF(TEXT(BC$312,"#")=MID(K329,1,LEN(K329)-1),BC$14,""))))))))))))</f>
        <v>Emma</v>
      </c>
      <c r="AX329" s="492"/>
      <c r="AY329" s="492"/>
      <c r="AZ329" s="493"/>
      <c r="BA329" s="439">
        <f t="shared" si="332"/>
        <v>598.97818181818184</v>
      </c>
      <c r="BB329" s="440"/>
      <c r="BC329" s="197">
        <f t="shared" si="333"/>
        <v>0.2376897546897547</v>
      </c>
    </row>
    <row r="333" spans="11:55" ht="14.5" thickBot="1" x14ac:dyDescent="0.35"/>
    <row r="334" spans="11:55" ht="35" thickBot="1" x14ac:dyDescent="0.7">
      <c r="X334" s="453"/>
      <c r="AC334" s="680" t="s">
        <v>235</v>
      </c>
      <c r="AD334" s="681"/>
      <c r="AE334" s="681"/>
      <c r="AF334" s="681"/>
      <c r="AG334" s="681"/>
      <c r="AH334" s="681"/>
      <c r="AI334" s="681"/>
      <c r="AJ334" s="681"/>
      <c r="AK334" s="682"/>
    </row>
    <row r="335" spans="11:55" x14ac:dyDescent="0.3">
      <c r="AC335" s="417" t="s">
        <v>214</v>
      </c>
      <c r="AD335" s="418" t="str">
        <f>IF(TEXT(K$313,"#")=MID(K318,1,LEN(K318)-1),K$13,IF(TEXT(O$313,"#")=MID(K318,1,LEN(K318)-1),O$13,IF(TEXT(S$313,"#")=MID(K318,1,LEN(K318)-1),S$13,IF(TEXT(W$313,"#")=MID(K318,1,LEN(K318)-1),W$13,IF(TEXT(AA$313,"#")=MID(K318,1,LEN(K318)-1),AA$13,IF(TEXT(AE$313,"#")=MID(K318,1,LEN(K318)-1),AE$13,IF(TEXT(AI$313,"#")=MID(K318,1,LEN(K318)-1),AI$13,IF(TEXT(AM$313,"#")=MID(K318,1,LEN(K318)-1),AM$13,IF(TEXT(AQ$313,"#")=MID(K318,1,LEN(K318)-1),AQ$13,IF(TEXT(AU$313,"#")=MID(K318,1,LEN(K318)-1),AU$13,IF(TEXT(AY$313,"#")=MID(K318,1,LEN(K318)-1),AY$13,IF(TEXT(BC$313,"#")=MID(K318,1,LEN(K318)-1),BC$13,""))))))))))))</f>
        <v>E</v>
      </c>
      <c r="AE335" s="683" t="str">
        <f>IF(TEXT(K$313,"#")=MID(K318,1,LEN(K318)-1),K$14,IF(TEXT(O$313,"#")=MID(K318,1,LEN(K318)-1),O$14,IF(TEXT(S$313,"#")=MID(K318,1,LEN(K318)-1),S$14,IF(TEXT(W$313,"#")=MID(K318,1,LEN(K318)-1),W$14,IF(TEXT(AA$313,"#")=MID(K318,1,LEN(K318)-1),AA$14,IF(TEXT(AE$313,"#")=MID(K318,1,LEN(K318)-1),AE$14,IF(TEXT(AI$313,"#")=MID(K318,1,LEN(K318)-1),AI$14,IF(TEXT(AM$313,"#")=MID(K318,1,LEN(K318)-1),AM$14,IF(TEXT(AQ$313,"#")=MID(K318,1,LEN(K318)-1),AQ$14,IF(TEXT(AU$313,"#")=MID(K318,1,LEN(K318)-1),AU$14,IF(TEXT(AY$313,"#")=MID(K318,1,LEN(K318)-1),AY$14,IF(TEXT(BC$313,"#")=MID(K318,1,LEN(K318)-1),BC$14,""))))))))))))</f>
        <v>Stefano</v>
      </c>
      <c r="AF335" s="684"/>
      <c r="AG335" s="684"/>
      <c r="AH335" s="685"/>
      <c r="AI335" s="419">
        <f>IF(TEXT(K$313,"#")=MID(K318,1,LEN(K318)-1),K$299,IF(TEXT(O$313,"#")=MID(K318,1,LEN(K318)-1),O$299,IF(TEXT(S$313,"#")=MID(K318,1,LEN(K318)-1),S$299,IF(TEXT(W$313,"#")=MID(K318,1,LEN(K318)-1),W$299,IF(TEXT(AA$313,"#")=MID(K318,1,LEN(K318)-1),AA$299,IF(TEXT(AE$313,"#")=MID(K318,1,LEN(K318)-1),AE$299,IF(TEXT(AI$313,"#")=MID(K318,1,LEN(K318)-1),AI$299,IF(TEXT(AM$313,"#")=MID(K318,1,LEN(K318)-1),AM$299,IF(TEXT(AQ$313,"#")=MID(K318,1,LEN(K318)-1),AQ$299,IF(TEXT(AU$313,"#")=MID(K318,1,LEN(K318)-1),AU$299,IF(TEXT(AY$313,"#")=MID(K318,1,LEN(K318)-1),AY$299,IF(TEXT(BC$313,"#")=MID(K318,1,LEN(K318)-1),BC$299,""))))))))))))</f>
        <v>8470.6365607270873</v>
      </c>
      <c r="AJ335" s="420"/>
      <c r="AK335" s="421">
        <f t="shared" ref="AK335:AK346" si="334">IF(TEXT(K$313,"#")=MID(K318,1,LEN(K318)-1),K$306,IF(TEXT(O$313,"#")=MID(K318,1,LEN(K318)-1),O$306,IF(TEXT(S$313,"#")=MID(K318,1,LEN(K318)-1),S$306,IF(TEXT(W$313,"#")=MID(K318,1,LEN(K318)-1),W$306,IF(TEXT(AA$313,"#")=MID(K318,1,LEN(K318)-1),AA$306,IF(TEXT(AE$313,"#")=MID(K318,1,LEN(K318)-1),AE$306,IF(TEXT(AI$313,"#")=MID(K318,1,LEN(K318)-1),AI$306,IF(TEXT(AM$313,"#")=MID(K318,1,LEN(K318)-1),AM$306,IF(TEXT(AQ$313,"#")=MID(K318,1,LEN(K318)-1),AQ$306,IF(TEXT(AU$313,"#")=MID(K318,1,LEN(K318)-1),AU$306,IF(TEXT(AY$313,"#")=MID(K318,1,LEN(K318)-1),AY$306,IF(TEXT(BC$313,"#")=MID(K318,1,LEN(K318)-1),BC$306,""))))))))))))</f>
        <v>0.84034092864356025</v>
      </c>
    </row>
    <row r="336" spans="11:55" x14ac:dyDescent="0.3">
      <c r="AC336" s="422" t="s">
        <v>215</v>
      </c>
      <c r="AD336" s="423" t="str">
        <f>IF(TEXT(K$313,"#")=MID(K319,1,LEN(K319)-1),K$13,IF(TEXT(O$313,"#")=MID(K319,1,LEN(K319)-1),O$13,IF(TEXT(S$313,"#")=MID(K319,1,LEN(K319)-1),S$13,IF(TEXT(W$313,"#")=MID(K319,1,LEN(K319)-1),W$13,IF(TEXT(AA$313,"#")=MID(K319,1,LEN(K319)-1),AA$13,IF(TEXT(AE$313,"#")=MID(K319,1,LEN(K319)-1),AE$13,IF(TEXT(AI$313,"#")=MID(K319,1,LEN(K319)-1),AI$13,IF(TEXT(AM$313,"#")=MID(K319,1,LEN(K319)-1),AM$13,IF(TEXT(AQ$313,"#")=MID(K319,1,LEN(K319)-1),AQ$13,IF(TEXT(AU$313,"#")=MID(K319,1,LEN(K319)-1),AU$13,IF(TEXT(AY$313,"#")=MID(K319,1,LEN(K319)-1),AY$13,IF(TEXT(BC$313,"#")=MID(K319,1,LEN(K319)-1),BC$13,""))))))))))))</f>
        <v>I</v>
      </c>
      <c r="AE336" s="657" t="str">
        <f>IF(TEXT(K$313,"#")=MID(K319,1,LEN(K319)-1),K$14,IF(TEXT(O$313,"#")=MID(K319,1,LEN(K319)-1),O$14,IF(TEXT(S$313,"#")=MID(K319,1,LEN(K319)-1),S$14,IF(TEXT(W$313,"#")=MID(K319,1,LEN(K319)-1),W$14,IF(TEXT(AA$313,"#")=MID(K319,1,LEN(K319)-1),AA$14,IF(TEXT(AE$313,"#")=MID(K319,1,LEN(K319)-1),AE$14,IF(TEXT(AI$313,"#")=MID(K319,1,LEN(K319)-1),AI$14,IF(TEXT(AM$313,"#")=MID(K319,1,LEN(K319)-1),AM$14,IF(TEXT(AQ$313,"#")=MID(K319,1,LEN(K319)-1),AQ$14,IF(TEXT(AU$313,"#")=MID(K319,1,LEN(K319)-1),AU$14,IF(TEXT(AY$313,"#")=MID(K319,1,LEN(K319)-1),AY$14,IF(TEXT(BC$313,"#")=MID(K319,1,LEN(K319)-1),BC$14,""))))))))))))</f>
        <v>Alessandro</v>
      </c>
      <c r="AF336" s="658"/>
      <c r="AG336" s="658"/>
      <c r="AH336" s="659"/>
      <c r="AI336" s="424">
        <f t="shared" ref="AI336:AI346" si="335">IF(TEXT(K$313,"#")=MID(K319,1,LEN(K319)-1),K$299,IF(TEXT(O$313,"#")=MID(K319,1,LEN(K319)-1),O$299,IF(TEXT(S$313,"#")=MID(K319,1,LEN(K319)-1),S$299,IF(TEXT(W$313,"#")=MID(K319,1,LEN(K319)-1),W$299,IF(TEXT(AA$313,"#")=MID(K319,1,LEN(K319)-1),AA$299,IF(TEXT(AE$313,"#")=MID(K319,1,LEN(K319)-1),AE$299,IF(TEXT(AI$313,"#")=MID(K319,1,LEN(K319)-1),AI$299,IF(TEXT(AM$313,"#")=MID(K319,1,LEN(K319)-1),AM$299,IF(TEXT(AQ$313,"#")=MID(K319,1,LEN(K319)-1),AQ$299,IF(TEXT(AU$313,"#")=MID(K319,1,LEN(K319)-1),AU$299,IF(TEXT(AY$313,"#")=MID(K319,1,LEN(K319)-1),AY$299,IF(TEXT(BC$313,"#")=MID(K319,1,LEN(K319)-1),BC$299,""))))))))))))</f>
        <v>8230.1032208480847</v>
      </c>
      <c r="AJ336" s="425"/>
      <c r="AK336" s="426">
        <f t="shared" si="334"/>
        <v>0.81647849413175444</v>
      </c>
    </row>
    <row r="337" spans="29:37" x14ac:dyDescent="0.3">
      <c r="AC337" s="422" t="s">
        <v>216</v>
      </c>
      <c r="AD337" s="423" t="str">
        <f>IF(TEXT(K$313,"#")=MID(K320,1,LEN(K320)-1),K$13,IF(TEXT(O$313,"#")=MID(K320,1,LEN(K320)-1),O$13,IF(TEXT(S$313,"#")=MID(K320,1,LEN(K320)-1),S$13,IF(TEXT(W$313,"#")=MID(K320,1,LEN(K320)-1),W$13,IF(TEXT(AA$313,"#")=MID(K320,1,LEN(K320)-1),AA$13,IF(TEXT(AE$313,"#")=MID(K320,1,LEN(K320)-1),AE$13,IF(TEXT(AI$313,"#")=MID(K320,1,LEN(K320)-1),AI$13,IF(TEXT(AM$313,"#")=MID(K320,1,LEN(K320)-1),AM$13,IF(TEXT(AQ$313,"#")=MID(K320,1,LEN(K320)-1),AQ$13,IF(TEXT(AU$313,"#")=MID(K320,1,LEN(K320)-1),AU$13,IF(TEXT(AY$313,"#")=MID(K320,1,LEN(K320)-1),AY$13,IF(TEXT(BC$313,"#")=MID(K320,1,LEN(K320)-1),BC$13,""))))))))))))</f>
        <v>L</v>
      </c>
      <c r="AE337" s="657" t="str">
        <f>IF(TEXT(K$313,"#")=MID(K320,1,LEN(K320)-1),K$14,IF(TEXT(O$313,"#")=MID(K320,1,LEN(K320)-1),O$14,IF(TEXT(S$313,"#")=MID(K320,1,LEN(K320)-1),S$14,IF(TEXT(W$313,"#")=MID(K320,1,LEN(K320)-1),W$14,IF(TEXT(AA$313,"#")=MID(K320,1,LEN(K320)-1),AA$14,IF(TEXT(AE$313,"#")=MID(K320,1,LEN(K320)-1),AE$14,IF(TEXT(AI$313,"#")=MID(K320,1,LEN(K320)-1),AI$14,IF(TEXT(AM$313,"#")=MID(K320,1,LEN(K320)-1),AM$14,IF(TEXT(AQ$313,"#")=MID(K320,1,LEN(K320)-1),AQ$14,IF(TEXT(AU$313,"#")=MID(K320,1,LEN(K320)-1),AU$14,IF(TEXT(AY$313,"#")=MID(K320,1,LEN(K320)-1),AY$14,IF(TEXT(BC$313,"#")=MID(K320,1,LEN(K320)-1),BC$14,""))))))))))))</f>
        <v>Massimo</v>
      </c>
      <c r="AF337" s="658"/>
      <c r="AG337" s="658"/>
      <c r="AH337" s="659"/>
      <c r="AI337" s="424">
        <f t="shared" si="335"/>
        <v>7378.0991615263956</v>
      </c>
      <c r="AJ337" s="425"/>
      <c r="AK337" s="426">
        <f t="shared" si="334"/>
        <v>0.73195428189745992</v>
      </c>
    </row>
    <row r="338" spans="29:37" x14ac:dyDescent="0.3">
      <c r="AC338" s="422" t="s">
        <v>217</v>
      </c>
      <c r="AD338" s="423" t="str">
        <f>IF(TEXT(K$313,"#")=MID(K321,1,LEN(K321)-1),K$13,IF(TEXT(O$313,"#")=MID(K321,1,LEN(K321)-1),O$13,IF(TEXT(S$313,"#")=MID(K321,1,LEN(K321)-1),S$13,IF(TEXT(W$313,"#")=MID(K321,1,LEN(K321)-1),W$13,IF(TEXT(AA$313,"#")=MID(K321,1,LEN(K321)-1),AA$13,IF(TEXT(AE$313,"#")=MID(K321,1,LEN(K321)-1),AE$13,IF(TEXT(AI$313,"#")=MID(K321,1,LEN(K321)-1),AI$13,IF(TEXT(AM$313,"#")=MID(K321,1,LEN(K321)-1),AM$13,IF(TEXT(AQ$313,"#")=MID(K321,1,LEN(K321)-1),AQ$13,IF(TEXT(AU$313,"#")=MID(K321,1,LEN(K321)-1),AU$13,IF(TEXT(AY$313,"#")=MID(K321,1,LEN(K321)-1),AY$13,IF(TEXT(BC$313,"#")=MID(K321,1,LEN(K321)-1),BC$13,""))))))))))))</f>
        <v>A</v>
      </c>
      <c r="AE338" s="657" t="str">
        <f>IF(TEXT(K$313,"#")=MID(K321,1,LEN(K321)-1),K$14,IF(TEXT(O$313,"#")=MID(K321,1,LEN(K321)-1),O$14,IF(TEXT(S$313,"#")=MID(K321,1,LEN(K321)-1),S$14,IF(TEXT(W$313,"#")=MID(K321,1,LEN(K321)-1),W$14,IF(TEXT(AA$313,"#")=MID(K321,1,LEN(K321)-1),AA$14,IF(TEXT(AE$313,"#")=MID(K321,1,LEN(K321)-1),AE$14,IF(TEXT(AI$313,"#")=MID(K321,1,LEN(K321)-1),AI$14,IF(TEXT(AM$313,"#")=MID(K321,1,LEN(K321)-1),AM$14,IF(TEXT(AQ$313,"#")=MID(K321,1,LEN(K321)-1),AQ$14,IF(TEXT(AU$313,"#")=MID(K321,1,LEN(K321)-1),AU$14,IF(TEXT(AY$313,"#")=MID(K321,1,LEN(K321)-1),AY$14,IF(TEXT(BC$313,"#")=MID(K321,1,LEN(K321)-1),BC$14,""))))))))))))</f>
        <v>Gianni</v>
      </c>
      <c r="AF338" s="658"/>
      <c r="AG338" s="658"/>
      <c r="AH338" s="659"/>
      <c r="AI338" s="424">
        <f t="shared" si="335"/>
        <v>5680.9518109594646</v>
      </c>
      <c r="AJ338" s="425"/>
      <c r="AK338" s="426">
        <f t="shared" si="334"/>
        <v>0.56358648918248655</v>
      </c>
    </row>
    <row r="339" spans="29:37" x14ac:dyDescent="0.3">
      <c r="AC339" s="422" t="s">
        <v>218</v>
      </c>
      <c r="AD339" s="423" t="str">
        <f>IF(TEXT(K$313,"#")=MID(K322,1,LEN(K322)-1),K$13,IF(TEXT(O$313,"#")=MID(K322,1,LEN(K322)-1),O$13,IF(TEXT(S$313,"#")=MID(K322,1,LEN(K322)-1),S$13,IF(TEXT(W$313,"#")=MID(K322,1,LEN(K322)-1),W$13,IF(TEXT(AA$313,"#")=MID(K322,1,LEN(K322)-1),AA$13,IF(TEXT(AE$313,"#")=MID(K322,1,LEN(K322)-1),AE$13,IF(TEXT(AI$313,"#")=MID(K322,1,LEN(K322)-1),AI$13,IF(TEXT(AM$313,"#")=MID(K322,1,LEN(K322)-1),AM$13,IF(TEXT(AQ$313,"#")=MID(K322,1,LEN(K322)-1),AQ$13,IF(TEXT(AU$313,"#")=MID(K322,1,LEN(K322)-1),AU$13,IF(TEXT(AY$313,"#")=MID(K322,1,LEN(K322)-1),AY$13,IF(TEXT(BC$313,"#")=MID(K322,1,LEN(K322)-1),BC$13,""))))))))))))</f>
        <v>D</v>
      </c>
      <c r="AE339" s="657" t="str">
        <f>IF(TEXT(K$313,"#")=MID(K322,1,LEN(K322)-1),K$14,IF(TEXT(O$313,"#")=MID(K322,1,LEN(K322)-1),O$14,IF(TEXT(S$313,"#")=MID(K322,1,LEN(K322)-1),S$14,IF(TEXT(W$313,"#")=MID(K322,1,LEN(K322)-1),W$14,IF(TEXT(AA$313,"#")=MID(K322,1,LEN(K322)-1),AA$14,IF(TEXT(AE$313,"#")=MID(K322,1,LEN(K322)-1),AE$14,IF(TEXT(AI$313,"#")=MID(K322,1,LEN(K322)-1),AI$14,IF(TEXT(AM$313,"#")=MID(K322,1,LEN(K322)-1),AM$14,IF(TEXT(AQ$313,"#")=MID(K322,1,LEN(K322)-1),AQ$14,IF(TEXT(AU$313,"#")=MID(K322,1,LEN(K322)-1),AU$14,IF(TEXT(AY$313,"#")=MID(K322,1,LEN(K322)-1),AY$14,IF(TEXT(BC$313,"#")=MID(K322,1,LEN(K322)-1),BC$14,""))))))))))))</f>
        <v>Alberto</v>
      </c>
      <c r="AF339" s="658"/>
      <c r="AG339" s="658"/>
      <c r="AH339" s="659"/>
      <c r="AI339" s="424">
        <f t="shared" si="335"/>
        <v>5536.169104612638</v>
      </c>
      <c r="AJ339" s="425"/>
      <c r="AK339" s="426">
        <f t="shared" si="334"/>
        <v>0.54922312545760299</v>
      </c>
    </row>
    <row r="340" spans="29:37" x14ac:dyDescent="0.3">
      <c r="AC340" s="422" t="s">
        <v>219</v>
      </c>
      <c r="AD340" s="423" t="str">
        <f>IF(TEXT(K$313,"#")=MID(K323,1,LEN(K323)-1),K$13,IF(TEXT(O$313,"#")=MID(K323,1,LEN(K323)-1),O$13,IF(TEXT(S$313,"#")=MID(K323,1,LEN(K323)-1),S$13,IF(TEXT(W$313,"#")=MID(K323,1,LEN(K323)-1),W$13,IF(TEXT(AA$313,"#")=MID(K323,1,LEN(K323)-1),AA$13,IF(TEXT(AE$313,"#")=MID(K323,1,LEN(K323)-1),AE$13,IF(TEXT(AI$313,"#")=MID(K323,1,LEN(K323)-1),AI$13,IF(TEXT(AM$313,"#")=MID(K323,1,LEN(K323)-1),AM$13,IF(TEXT(AQ$313,"#")=MID(K323,1,LEN(K323)-1),AQ$13,IF(TEXT(AU$313,"#")=MID(K323,1,LEN(K323)-1),AU$13,IF(TEXT(AY$313,"#")=MID(K323,1,LEN(K323)-1),AY$13,IF(TEXT(BC$313,"#")=MID(K323,1,LEN(K323)-1),BC$13,""))))))))))))</f>
        <v>B</v>
      </c>
      <c r="AE340" s="657" t="str">
        <f>IF(TEXT(K$313,"#")=MID(K323,1,LEN(K323)-1),K$14,IF(TEXT(O$313,"#")=MID(K323,1,LEN(K323)-1),O$14,IF(TEXT(S$313,"#")=MID(K323,1,LEN(K323)-1),S$14,IF(TEXT(W$313,"#")=MID(K323,1,LEN(K323)-1),W$14,IF(TEXT(AA$313,"#")=MID(K323,1,LEN(K323)-1),AA$14,IF(TEXT(AE$313,"#")=MID(K323,1,LEN(K323)-1),AE$14,IF(TEXT(AI$313,"#")=MID(K323,1,LEN(K323)-1),AI$14,IF(TEXT(AM$313,"#")=MID(K323,1,LEN(K323)-1),AM$14,IF(TEXT(AQ$313,"#")=MID(K323,1,LEN(K323)-1),AQ$14,IF(TEXT(AU$313,"#")=MID(K323,1,LEN(K323)-1),AU$14,IF(TEXT(AY$313,"#")=MID(K323,1,LEN(K323)-1),AY$14,IF(TEXT(BC$313,"#")=MID(K323,1,LEN(K323)-1),BC$14,""))))))))))))</f>
        <v>Pietro</v>
      </c>
      <c r="AF340" s="658"/>
      <c r="AG340" s="658"/>
      <c r="AH340" s="659"/>
      <c r="AI340" s="424">
        <f t="shared" si="335"/>
        <v>4982.9633397562338</v>
      </c>
      <c r="AJ340" s="425"/>
      <c r="AK340" s="426">
        <f t="shared" si="334"/>
        <v>0.49434160116629305</v>
      </c>
    </row>
    <row r="341" spans="29:37" x14ac:dyDescent="0.3">
      <c r="AC341" s="422" t="s">
        <v>229</v>
      </c>
      <c r="AD341" s="423" t="str">
        <f>IF(TEXT(K$313,"#")=MID(K324,1,LEN(K324)-1),K$13,IF(TEXT(O$313,"#")=MID(K324,1,LEN(K324)-1),O$13,IF(TEXT(S$313,"#")=MID(K324,1,LEN(K324)-1),S$13,IF(TEXT(W$313,"#")=MID(K324,1,LEN(K324)-1),W$13,IF(TEXT(AA$313,"#")=MID(K324,1,LEN(K324)-1),AA$13,IF(TEXT(AE$313,"#")=MID(K324,1,LEN(K324)-1),AE$13,IF(TEXT(AI$313,"#")=MID(K324,1,LEN(K324)-1),AI$13,IF(TEXT(AM$313,"#")=MID(K324,1,LEN(K324)-1),AM$13,IF(TEXT(AQ$313,"#")=MID(K324,1,LEN(K324)-1),AQ$13,IF(TEXT(AU$313,"#")=MID(K324,1,LEN(K324)-1),AU$13,IF(TEXT(AY$313,"#")=MID(K324,1,LEN(K324)-1),AY$13,IF(TEXT(BC$313,"#")=MID(K324,1,LEN(K324)-1),BC$13,""))))))))))))</f>
        <v>H</v>
      </c>
      <c r="AE341" s="657" t="str">
        <f>IF(TEXT(K$313,"#")=MID(K324,1,LEN(K324)-1),K$14,IF(TEXT(O$313,"#")=MID(K324,1,LEN(K324)-1),O$14,IF(TEXT(S$313,"#")=MID(K324,1,LEN(K324)-1),S$14,IF(TEXT(W$313,"#")=MID(K324,1,LEN(K324)-1),W$14,IF(TEXT(AA$313,"#")=MID(K324,1,LEN(K324)-1),AA$14,IF(TEXT(AE$313,"#")=MID(K324,1,LEN(K324)-1),AE$14,IF(TEXT(AI$313,"#")=MID(K324,1,LEN(K324)-1),AI$14,IF(TEXT(AM$313,"#")=MID(K324,1,LEN(K324)-1),AM$14,IF(TEXT(AQ$313,"#")=MID(K324,1,LEN(K324)-1),AQ$14,IF(TEXT(AU$313,"#")=MID(K324,1,LEN(K324)-1),AU$14,IF(TEXT(AY$313,"#")=MID(K324,1,LEN(K324)-1),AY$14,IF(TEXT(BC$313,"#")=MID(K324,1,LEN(K324)-1),BC$14,""))))))))))))</f>
        <v>Gianluca</v>
      </c>
      <c r="AF341" s="658"/>
      <c r="AG341" s="658"/>
      <c r="AH341" s="659"/>
      <c r="AI341" s="424">
        <f t="shared" si="335"/>
        <v>4740.2043248747686</v>
      </c>
      <c r="AJ341" s="425"/>
      <c r="AK341" s="426">
        <f t="shared" si="334"/>
        <v>0.47025836556297307</v>
      </c>
    </row>
    <row r="342" spans="29:37" x14ac:dyDescent="0.3">
      <c r="AC342" s="422" t="s">
        <v>230</v>
      </c>
      <c r="AD342" s="423" t="str">
        <f>IF(TEXT(K$313,"#")=MID(K325,1,LEN(K325)-1),K$13,IF(TEXT(O$313,"#")=MID(K325,1,LEN(K325)-1),O$13,IF(TEXT(S$313,"#")=MID(K325,1,LEN(K325)-1),S$13,IF(TEXT(W$313,"#")=MID(K325,1,LEN(K325)-1),W$13,IF(TEXT(AA$313,"#")=MID(K325,1,LEN(K325)-1),AA$13,IF(TEXT(AE$313,"#")=MID(K325,1,LEN(K325)-1),AE$13,IF(TEXT(AI$313,"#")=MID(K325,1,LEN(K325)-1),AI$13,IF(TEXT(AM$313,"#")=MID(K325,1,LEN(K325)-1),AM$13,IF(TEXT(AQ$313,"#")=MID(K325,1,LEN(K325)-1),AQ$13,IF(TEXT(AU$313,"#")=MID(K325,1,LEN(K325)-1),AU$13,IF(TEXT(AY$313,"#")=MID(K325,1,LEN(K325)-1),AY$13,IF(TEXT(BC$313,"#")=MID(K325,1,LEN(K325)-1),BC$13,""))))))))))))</f>
        <v>K</v>
      </c>
      <c r="AE342" s="657" t="str">
        <f>IF(TEXT(K$313,"#")=MID(K325,1,LEN(K325)-1),K$14,IF(TEXT(O$313,"#")=MID(K325,1,LEN(K325)-1),O$14,IF(TEXT(S$313,"#")=MID(K325,1,LEN(K325)-1),S$14,IF(TEXT(W$313,"#")=MID(K325,1,LEN(K325)-1),W$14,IF(TEXT(AA$313,"#")=MID(K325,1,LEN(K325)-1),AA$14,IF(TEXT(AE$313,"#")=MID(K325,1,LEN(K325)-1),AE$14,IF(TEXT(AI$313,"#")=MID(K325,1,LEN(K325)-1),AI$14,IF(TEXT(AM$313,"#")=MID(K325,1,LEN(K325)-1),AM$14,IF(TEXT(AQ$313,"#")=MID(K325,1,LEN(K325)-1),AQ$14,IF(TEXT(AU$313,"#")=MID(K325,1,LEN(K325)-1),AU$14,IF(TEXT(AY$313,"#")=MID(K325,1,LEN(K325)-1),AY$14,IF(TEXT(BC$313,"#")=MID(K325,1,LEN(K325)-1),BC$14,""))))))))))))</f>
        <v>Magda</v>
      </c>
      <c r="AF342" s="658"/>
      <c r="AG342" s="658"/>
      <c r="AH342" s="659"/>
      <c r="AI342" s="424">
        <f t="shared" si="335"/>
        <v>3486.0452820081737</v>
      </c>
      <c r="AJ342" s="425"/>
      <c r="AK342" s="426">
        <f t="shared" si="334"/>
        <v>0.34583782559604898</v>
      </c>
    </row>
    <row r="343" spans="29:37" x14ac:dyDescent="0.3">
      <c r="AC343" s="422" t="s">
        <v>231</v>
      </c>
      <c r="AD343" s="423" t="str">
        <f>IF(TEXT(K$313,"#")=MID(K326,1,LEN(K326)-1),K$13,IF(TEXT(O$313,"#")=MID(K326,1,LEN(K326)-1),O$13,IF(TEXT(S$313,"#")=MID(K326,1,LEN(K326)-1),S$13,IF(TEXT(W$313,"#")=MID(K326,1,LEN(K326)-1),W$13,IF(TEXT(AA$313,"#")=MID(K326,1,LEN(K326)-1),AA$13,IF(TEXT(AE$313,"#")=MID(K326,1,LEN(K326)-1),AE$13,IF(TEXT(AI$313,"#")=MID(K326,1,LEN(K326)-1),AI$13,IF(TEXT(AM$313,"#")=MID(K326,1,LEN(K326)-1),AM$13,IF(TEXT(AQ$313,"#")=MID(K326,1,LEN(K326)-1),AQ$13,IF(TEXT(AU$313,"#")=MID(K326,1,LEN(K326)-1),AU$13,IF(TEXT(AY$313,"#")=MID(K326,1,LEN(K326)-1),AY$13,IF(TEXT(BC$313,"#")=MID(K326,1,LEN(K326)-1),BC$13,""))))))))))))</f>
        <v>F</v>
      </c>
      <c r="AE343" s="657" t="str">
        <f>IF(TEXT(K$313,"#")=MID(K326,1,LEN(K326)-1),K$14,IF(TEXT(O$313,"#")=MID(K326,1,LEN(K326)-1),O$14,IF(TEXT(S$313,"#")=MID(K326,1,LEN(K326)-1),S$14,IF(TEXT(W$313,"#")=MID(K326,1,LEN(K326)-1),W$14,IF(TEXT(AA$313,"#")=MID(K326,1,LEN(K326)-1),AA$14,IF(TEXT(AE$313,"#")=MID(K326,1,LEN(K326)-1),AE$14,IF(TEXT(AI$313,"#")=MID(K326,1,LEN(K326)-1),AI$14,IF(TEXT(AM$313,"#")=MID(K326,1,LEN(K326)-1),AM$14,IF(TEXT(AQ$313,"#")=MID(K326,1,LEN(K326)-1),AQ$14,IF(TEXT(AU$313,"#")=MID(K326,1,LEN(K326)-1),AU$14,IF(TEXT(AY$313,"#")=MID(K326,1,LEN(K326)-1),AY$14,IF(TEXT(BC$313,"#")=MID(K326,1,LEN(K326)-1),BC$14,""))))))))))))</f>
        <v>Camila</v>
      </c>
      <c r="AF343" s="658"/>
      <c r="AG343" s="658"/>
      <c r="AH343" s="659"/>
      <c r="AI343" s="424">
        <f t="shared" si="335"/>
        <v>3230.7609087776709</v>
      </c>
      <c r="AJ343" s="425"/>
      <c r="AK343" s="426">
        <f t="shared" si="334"/>
        <v>0.32051199491841975</v>
      </c>
    </row>
    <row r="344" spans="29:37" x14ac:dyDescent="0.3">
      <c r="AC344" s="422" t="s">
        <v>232</v>
      </c>
      <c r="AD344" s="423" t="str">
        <f>IF(TEXT(K$313,"#")=MID(K327,1,LEN(K327)-1),K$13,IF(TEXT(O$313,"#")=MID(K327,1,LEN(K327)-1),O$13,IF(TEXT(S$313,"#")=MID(K327,1,LEN(K327)-1),S$13,IF(TEXT(W$313,"#")=MID(K327,1,LEN(K327)-1),W$13,IF(TEXT(AA$313,"#")=MID(K327,1,LEN(K327)-1),AA$13,IF(TEXT(AE$313,"#")=MID(K327,1,LEN(K327)-1),AE$13,IF(TEXT(AI$313,"#")=MID(K327,1,LEN(K327)-1),AI$13,IF(TEXT(AM$313,"#")=MID(K327,1,LEN(K327)-1),AM$13,IF(TEXT(AQ$313,"#")=MID(K327,1,LEN(K327)-1),AQ$13,IF(TEXT(AU$313,"#")=MID(K327,1,LEN(K327)-1),AU$13,IF(TEXT(AY$313,"#")=MID(K327,1,LEN(K327)-1),AY$13,IF(TEXT(BC$313,"#")=MID(K327,1,LEN(K327)-1),BC$13,""))))))))))))</f>
        <v>C</v>
      </c>
      <c r="AE344" s="657" t="str">
        <f>IF(TEXT(K$313,"#")=MID(K327,1,LEN(K327)-1),K$14,IF(TEXT(O$313,"#")=MID(K327,1,LEN(K327)-1),O$14,IF(TEXT(S$313,"#")=MID(K327,1,LEN(K327)-1),S$14,IF(TEXT(W$313,"#")=MID(K327,1,LEN(K327)-1),W$14,IF(TEXT(AA$313,"#")=MID(K327,1,LEN(K327)-1),AA$14,IF(TEXT(AE$313,"#")=MID(K327,1,LEN(K327)-1),AE$14,IF(TEXT(AI$313,"#")=MID(K327,1,LEN(K327)-1),AI$14,IF(TEXT(AM$313,"#")=MID(K327,1,LEN(K327)-1),AM$14,IF(TEXT(AQ$313,"#")=MID(K327,1,LEN(K327)-1),AQ$14,IF(TEXT(AU$313,"#")=MID(K327,1,LEN(K327)-1),AU$14,IF(TEXT(AY$313,"#")=MID(K327,1,LEN(K327)-1),AY$14,IF(TEXT(BC$313,"#")=MID(K327,1,LEN(K327)-1),BC$14,""))))))))))))</f>
        <v>Matheus</v>
      </c>
      <c r="AF344" s="658"/>
      <c r="AG344" s="658"/>
      <c r="AH344" s="659"/>
      <c r="AI344" s="424">
        <f t="shared" si="335"/>
        <v>3126.1593347695302</v>
      </c>
      <c r="AJ344" s="425"/>
      <c r="AK344" s="426">
        <f t="shared" si="334"/>
        <v>0.31013485463983437</v>
      </c>
    </row>
    <row r="345" spans="29:37" x14ac:dyDescent="0.3">
      <c r="AC345" s="422" t="s">
        <v>233</v>
      </c>
      <c r="AD345" s="423" t="str">
        <f>IF(TEXT(K$313,"#")=MID(K328,1,LEN(K328)-1),K$13,IF(TEXT(O$313,"#")=MID(K328,1,LEN(K328)-1),O$13,IF(TEXT(S$313,"#")=MID(K328,1,LEN(K328)-1),S$13,IF(TEXT(W$313,"#")=MID(K328,1,LEN(K328)-1),W$13,IF(TEXT(AA$313,"#")=MID(K328,1,LEN(K328)-1),AA$13,IF(TEXT(AE$313,"#")=MID(K328,1,LEN(K328)-1),AE$13,IF(TEXT(AI$313,"#")=MID(K328,1,LEN(K328)-1),AI$13,IF(TEXT(AM$313,"#")=MID(K328,1,LEN(K328)-1),AM$13,IF(TEXT(AQ$313,"#")=MID(K328,1,LEN(K328)-1),AQ$13,IF(TEXT(AU$313,"#")=MID(K328,1,LEN(K328)-1),AU$13,IF(TEXT(AY$313,"#")=MID(K328,1,LEN(K328)-1),AY$13,IF(TEXT(BC$313,"#")=MID(K328,1,LEN(K328)-1),BC$13,""))))))))))))</f>
        <v>J</v>
      </c>
      <c r="AE345" s="657" t="str">
        <f>IF(TEXT(K$313,"#")=MID(K328,1,LEN(K328)-1),K$14,IF(TEXT(O$313,"#")=MID(K328,1,LEN(K328)-1),O$14,IF(TEXT(S$313,"#")=MID(K328,1,LEN(K328)-1),S$14,IF(TEXT(W$313,"#")=MID(K328,1,LEN(K328)-1),W$14,IF(TEXT(AA$313,"#")=MID(K328,1,LEN(K328)-1),AA$14,IF(TEXT(AE$313,"#")=MID(K328,1,LEN(K328)-1),AE$14,IF(TEXT(AI$313,"#")=MID(K328,1,LEN(K328)-1),AI$14,IF(TEXT(AM$313,"#")=MID(K328,1,LEN(K328)-1),AM$14,IF(TEXT(AQ$313,"#")=MID(K328,1,LEN(K328)-1),AQ$14,IF(TEXT(AU$313,"#")=MID(K328,1,LEN(K328)-1),AU$14,IF(TEXT(AY$313,"#")=MID(K328,1,LEN(K328)-1),AY$14,IF(TEXT(BC$313,"#")=MID(K328,1,LEN(K328)-1),BC$14,""))))))))))))</f>
        <v>Emma</v>
      </c>
      <c r="AF345" s="658"/>
      <c r="AG345" s="658"/>
      <c r="AH345" s="659"/>
      <c r="AI345" s="424">
        <f t="shared" si="335"/>
        <v>2739.550181818182</v>
      </c>
      <c r="AJ345" s="425"/>
      <c r="AK345" s="426">
        <f t="shared" si="334"/>
        <v>0.271780772005772</v>
      </c>
    </row>
    <row r="346" spans="29:37" ht="14.5" thickBot="1" x14ac:dyDescent="0.35">
      <c r="AC346" s="427" t="s">
        <v>234</v>
      </c>
      <c r="AD346" s="428" t="str">
        <f>IF(TEXT(K$313,"#")=MID(K329,1,LEN(K329)-1),K$13,IF(TEXT(O$313,"#")=MID(K329,1,LEN(K329)-1),O$13,IF(TEXT(S$313,"#")=MID(K329,1,LEN(K329)-1),S$13,IF(TEXT(W$313,"#")=MID(K329,1,LEN(K329)-1),W$13,IF(TEXT(AA$313,"#")=MID(K329,1,LEN(K329)-1),AA$13,IF(TEXT(AE$313,"#")=MID(K329,1,LEN(K329)-1),AE$13,IF(TEXT(AI$313,"#")=MID(K329,1,LEN(K329)-1),AI$13,IF(TEXT(AM$313,"#")=MID(K329,1,LEN(K329)-1),AM$13,IF(TEXT(AQ$313,"#")=MID(K329,1,LEN(K329)-1),AQ$13,IF(TEXT(AU$313,"#")=MID(K329,1,LEN(K329)-1),AU$13,IF(TEXT(AY$313,"#")=MID(K329,1,LEN(K329)-1),AY$13,IF(TEXT(BC$313,"#")=MID(K329,1,LEN(K329)-1),BC$13,""))))))))))))</f>
        <v>G</v>
      </c>
      <c r="AE346" s="660" t="str">
        <f>IF(TEXT(K$313,"#")=MID(K329,1,LEN(K329)-1),K$14,IF(TEXT(O$313,"#")=MID(K329,1,LEN(K329)-1),O$14,IF(TEXT(S$313,"#")=MID(K329,1,LEN(K329)-1),S$14,IF(TEXT(W$313,"#")=MID(K329,1,LEN(K329)-1),W$14,IF(TEXT(AA$313,"#")=MID(K329,1,LEN(K329)-1),AA$14,IF(TEXT(AE$313,"#")=MID(K329,1,LEN(K329)-1),AE$14,IF(TEXT(AI$313,"#")=MID(K329,1,LEN(K329)-1),AI$14,IF(TEXT(AM$313,"#")=MID(K329,1,LEN(K329)-1),AM$14,IF(TEXT(AQ$313,"#")=MID(K329,1,LEN(K329)-1),AQ$14,IF(TEXT(AU$313,"#")=MID(K329,1,LEN(K329)-1),AU$14,IF(TEXT(AY$313,"#")=MID(K329,1,LEN(K329)-1),AY$14,IF(TEXT(BC$313,"#")=MID(K329,1,LEN(K329)-1),BC$14,""))))))))))))</f>
        <v>Aurelio</v>
      </c>
      <c r="AF346" s="661"/>
      <c r="AG346" s="661"/>
      <c r="AH346" s="662"/>
      <c r="AI346" s="429">
        <f t="shared" si="335"/>
        <v>2122.9547900688267</v>
      </c>
      <c r="AJ346" s="430"/>
      <c r="AK346" s="431">
        <f t="shared" si="334"/>
        <v>0.2106105942528598</v>
      </c>
    </row>
  </sheetData>
  <mergeCells count="611">
    <mergeCell ref="AO188:AP188"/>
    <mergeCell ref="AO189:AP189"/>
    <mergeCell ref="AO190:AP190"/>
    <mergeCell ref="AO191:AP191"/>
    <mergeCell ref="AO192:AP192"/>
    <mergeCell ref="AO193:AP193"/>
    <mergeCell ref="W189:X189"/>
    <mergeCell ref="W190:X190"/>
    <mergeCell ref="W191:X191"/>
    <mergeCell ref="W192:X192"/>
    <mergeCell ref="W193:X193"/>
    <mergeCell ref="AF188:AG188"/>
    <mergeCell ref="AF189:AG189"/>
    <mergeCell ref="AF190:AG190"/>
    <mergeCell ref="AF191:AG191"/>
    <mergeCell ref="AF192:AG192"/>
    <mergeCell ref="AF193:AG193"/>
    <mergeCell ref="N190:O190"/>
    <mergeCell ref="N191:O191"/>
    <mergeCell ref="N192:O192"/>
    <mergeCell ref="D112:D119"/>
    <mergeCell ref="E112:F112"/>
    <mergeCell ref="E113:F113"/>
    <mergeCell ref="E114:F114"/>
    <mergeCell ref="D120:D127"/>
    <mergeCell ref="D128:D135"/>
    <mergeCell ref="D136:D143"/>
    <mergeCell ref="D144:D151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16:F116"/>
    <mergeCell ref="E117:F117"/>
    <mergeCell ref="C162:J162"/>
    <mergeCell ref="C161:J161"/>
    <mergeCell ref="C160:J160"/>
    <mergeCell ref="D88:D95"/>
    <mergeCell ref="D96:D103"/>
    <mergeCell ref="E77:F77"/>
    <mergeCell ref="E78:F78"/>
    <mergeCell ref="E79:F79"/>
    <mergeCell ref="E80:F80"/>
    <mergeCell ref="E81:F81"/>
    <mergeCell ref="N188:O188"/>
    <mergeCell ref="N189:O189"/>
    <mergeCell ref="E92:F92"/>
    <mergeCell ref="E93:F93"/>
    <mergeCell ref="E94:F94"/>
    <mergeCell ref="E95:F95"/>
    <mergeCell ref="E96:F96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97:F97"/>
    <mergeCell ref="E98:F98"/>
    <mergeCell ref="E64:F64"/>
    <mergeCell ref="E65:F65"/>
    <mergeCell ref="E66:F66"/>
    <mergeCell ref="E67:F67"/>
    <mergeCell ref="E68:F68"/>
    <mergeCell ref="E69:F69"/>
    <mergeCell ref="E70:F70"/>
    <mergeCell ref="D72:D79"/>
    <mergeCell ref="D80:D87"/>
    <mergeCell ref="E83:F83"/>
    <mergeCell ref="E84:F84"/>
    <mergeCell ref="E85:F85"/>
    <mergeCell ref="E86:F86"/>
    <mergeCell ref="D64:D71"/>
    <mergeCell ref="E87:F87"/>
    <mergeCell ref="BC14:BF14"/>
    <mergeCell ref="D48:D55"/>
    <mergeCell ref="E48:F48"/>
    <mergeCell ref="E49:F49"/>
    <mergeCell ref="E51:F51"/>
    <mergeCell ref="E52:F52"/>
    <mergeCell ref="E53:F53"/>
    <mergeCell ref="E54:F54"/>
    <mergeCell ref="E55:F55"/>
    <mergeCell ref="E20:F20"/>
    <mergeCell ref="E21:F21"/>
    <mergeCell ref="E22:F22"/>
    <mergeCell ref="E23:F23"/>
    <mergeCell ref="K14:N14"/>
    <mergeCell ref="O14:R14"/>
    <mergeCell ref="S14:V14"/>
    <mergeCell ref="W14:Z14"/>
    <mergeCell ref="AA14:AD14"/>
    <mergeCell ref="AE14:AH14"/>
    <mergeCell ref="E29:F29"/>
    <mergeCell ref="E30:F30"/>
    <mergeCell ref="E31:F31"/>
    <mergeCell ref="B200:B265"/>
    <mergeCell ref="AI14:AL14"/>
    <mergeCell ref="AM14:AP14"/>
    <mergeCell ref="AY14:BB14"/>
    <mergeCell ref="K12:BF12"/>
    <mergeCell ref="K13:N13"/>
    <mergeCell ref="O13:R13"/>
    <mergeCell ref="S13:V13"/>
    <mergeCell ref="W13:Z13"/>
    <mergeCell ref="AA13:AD13"/>
    <mergeCell ref="AE13:AH13"/>
    <mergeCell ref="AI13:AL13"/>
    <mergeCell ref="AM13:AP13"/>
    <mergeCell ref="AQ13:AT13"/>
    <mergeCell ref="AU13:AX13"/>
    <mergeCell ref="AY13:BB13"/>
    <mergeCell ref="BC13:BF13"/>
    <mergeCell ref="AQ14:AT14"/>
    <mergeCell ref="AU14:AX14"/>
    <mergeCell ref="E82:F82"/>
    <mergeCell ref="E88:F88"/>
    <mergeCell ref="E89:F89"/>
    <mergeCell ref="E90:F90"/>
    <mergeCell ref="E91:F91"/>
    <mergeCell ref="C5:BG5"/>
    <mergeCell ref="C254:D258"/>
    <mergeCell ref="C262:J262"/>
    <mergeCell ref="B295:B313"/>
    <mergeCell ref="D32:D39"/>
    <mergeCell ref="D24:D31"/>
    <mergeCell ref="K187:Q187"/>
    <mergeCell ref="E34:F34"/>
    <mergeCell ref="E35:F35"/>
    <mergeCell ref="E36:F36"/>
    <mergeCell ref="E37:F37"/>
    <mergeCell ref="E38:F38"/>
    <mergeCell ref="E39:F39"/>
    <mergeCell ref="E43:F43"/>
    <mergeCell ref="E44:F44"/>
    <mergeCell ref="E45:F45"/>
    <mergeCell ref="E46:F46"/>
    <mergeCell ref="E32:F32"/>
    <mergeCell ref="E33:F33"/>
    <mergeCell ref="E24:F24"/>
    <mergeCell ref="E25:F25"/>
    <mergeCell ref="AC187:AI187"/>
    <mergeCell ref="B16:B183"/>
    <mergeCell ref="D16:D23"/>
    <mergeCell ref="C7:BG7"/>
    <mergeCell ref="C310:J310"/>
    <mergeCell ref="C304:J304"/>
    <mergeCell ref="K306:N306"/>
    <mergeCell ref="D40:D47"/>
    <mergeCell ref="E47:F47"/>
    <mergeCell ref="E50:F50"/>
    <mergeCell ref="E71:F71"/>
    <mergeCell ref="E72:F72"/>
    <mergeCell ref="E73:F73"/>
    <mergeCell ref="E74:F74"/>
    <mergeCell ref="E75:F75"/>
    <mergeCell ref="E76:F76"/>
    <mergeCell ref="E40:F40"/>
    <mergeCell ref="E41:F41"/>
    <mergeCell ref="E42:F42"/>
    <mergeCell ref="E16:F16"/>
    <mergeCell ref="E17:F17"/>
    <mergeCell ref="E18:F18"/>
    <mergeCell ref="E19:F19"/>
    <mergeCell ref="W188:X188"/>
    <mergeCell ref="E26:F26"/>
    <mergeCell ref="E27:F27"/>
    <mergeCell ref="E28:F28"/>
    <mergeCell ref="E99:F99"/>
    <mergeCell ref="E100:F100"/>
    <mergeCell ref="E101:F101"/>
    <mergeCell ref="E102:F102"/>
    <mergeCell ref="E103:F103"/>
    <mergeCell ref="E115:F115"/>
    <mergeCell ref="E123:F123"/>
    <mergeCell ref="E118:F118"/>
    <mergeCell ref="E119:F119"/>
    <mergeCell ref="E120:F120"/>
    <mergeCell ref="E121:F121"/>
    <mergeCell ref="E122:F122"/>
    <mergeCell ref="AK318:AN318"/>
    <mergeCell ref="M319:P319"/>
    <mergeCell ref="Y319:AB319"/>
    <mergeCell ref="AK319:AN319"/>
    <mergeCell ref="C200:C204"/>
    <mergeCell ref="C205:C209"/>
    <mergeCell ref="C210:C216"/>
    <mergeCell ref="C217:C223"/>
    <mergeCell ref="C224:C230"/>
    <mergeCell ref="C231:C237"/>
    <mergeCell ref="U274:W274"/>
    <mergeCell ref="U275:W275"/>
    <mergeCell ref="E254:J254"/>
    <mergeCell ref="E255:J255"/>
    <mergeCell ref="E256:J256"/>
    <mergeCell ref="E258:J258"/>
    <mergeCell ref="C261:J261"/>
    <mergeCell ref="C263:J263"/>
    <mergeCell ref="C265:J265"/>
    <mergeCell ref="B294:BF294"/>
    <mergeCell ref="AI317:AQ317"/>
    <mergeCell ref="K316:BC316"/>
    <mergeCell ref="M270:O270"/>
    <mergeCell ref="M271:O271"/>
    <mergeCell ref="AK323:AN323"/>
    <mergeCell ref="AK326:AN326"/>
    <mergeCell ref="AK325:AN325"/>
    <mergeCell ref="AK324:AN324"/>
    <mergeCell ref="AK327:AN327"/>
    <mergeCell ref="AK328:AN328"/>
    <mergeCell ref="AK329:AN329"/>
    <mergeCell ref="AK321:AN321"/>
    <mergeCell ref="M322:P322"/>
    <mergeCell ref="Y322:AB322"/>
    <mergeCell ref="AK322:AN322"/>
    <mergeCell ref="M326:P326"/>
    <mergeCell ref="M327:P327"/>
    <mergeCell ref="M328:P328"/>
    <mergeCell ref="M329:P329"/>
    <mergeCell ref="Y326:AB326"/>
    <mergeCell ref="Y325:AB325"/>
    <mergeCell ref="Y324:AB324"/>
    <mergeCell ref="Y328:AB328"/>
    <mergeCell ref="Y329:AB329"/>
    <mergeCell ref="M324:P324"/>
    <mergeCell ref="M323:P323"/>
    <mergeCell ref="AK320:AN320"/>
    <mergeCell ref="M321:P321"/>
    <mergeCell ref="Y321:AB321"/>
    <mergeCell ref="Y327:AB327"/>
    <mergeCell ref="C306:J306"/>
    <mergeCell ref="C309:J309"/>
    <mergeCell ref="AE343:AH343"/>
    <mergeCell ref="C311:J311"/>
    <mergeCell ref="C313:J313"/>
    <mergeCell ref="C312:J312"/>
    <mergeCell ref="AI306:AL306"/>
    <mergeCell ref="W309:Z309"/>
    <mergeCell ref="W310:Z310"/>
    <mergeCell ref="W311:Z311"/>
    <mergeCell ref="W312:Z312"/>
    <mergeCell ref="W313:Z313"/>
    <mergeCell ref="AA309:AD309"/>
    <mergeCell ref="AA310:AD310"/>
    <mergeCell ref="AA311:AD311"/>
    <mergeCell ref="AA312:AD312"/>
    <mergeCell ref="AA313:AD313"/>
    <mergeCell ref="AE309:AH309"/>
    <mergeCell ref="AC334:AK334"/>
    <mergeCell ref="AE335:AH335"/>
    <mergeCell ref="AE344:AH344"/>
    <mergeCell ref="AE345:AH345"/>
    <mergeCell ref="AE346:AH346"/>
    <mergeCell ref="K317:S317"/>
    <mergeCell ref="W317:AE317"/>
    <mergeCell ref="AE341:AH341"/>
    <mergeCell ref="AE342:AH342"/>
    <mergeCell ref="M318:P318"/>
    <mergeCell ref="Y318:AB318"/>
    <mergeCell ref="M325:P325"/>
    <mergeCell ref="M320:P320"/>
    <mergeCell ref="Y320:AB320"/>
    <mergeCell ref="AE336:AH336"/>
    <mergeCell ref="AE337:AH337"/>
    <mergeCell ref="AE338:AH338"/>
    <mergeCell ref="AE339:AH339"/>
    <mergeCell ref="AE340:AH340"/>
    <mergeCell ref="Y323:AB323"/>
    <mergeCell ref="C165:J165"/>
    <mergeCell ref="C166:J166"/>
    <mergeCell ref="C167:J167"/>
    <mergeCell ref="C169:J169"/>
    <mergeCell ref="C172:J172"/>
    <mergeCell ref="C173:J173"/>
    <mergeCell ref="C174:J174"/>
    <mergeCell ref="C176:J176"/>
    <mergeCell ref="C179:J179"/>
    <mergeCell ref="C168:J168"/>
    <mergeCell ref="C180:J180"/>
    <mergeCell ref="C181:J181"/>
    <mergeCell ref="C183:J183"/>
    <mergeCell ref="C295:J295"/>
    <mergeCell ref="C296:J296"/>
    <mergeCell ref="C297:J297"/>
    <mergeCell ref="C299:J299"/>
    <mergeCell ref="C302:J302"/>
    <mergeCell ref="C303:J303"/>
    <mergeCell ref="K169:N169"/>
    <mergeCell ref="O169:R169"/>
    <mergeCell ref="S169:V169"/>
    <mergeCell ref="W169:Z169"/>
    <mergeCell ref="AA169:AD169"/>
    <mergeCell ref="AE169:AH169"/>
    <mergeCell ref="AI169:AL169"/>
    <mergeCell ref="AM169:AP169"/>
    <mergeCell ref="AQ169:AT169"/>
    <mergeCell ref="K179:N179"/>
    <mergeCell ref="K180:N180"/>
    <mergeCell ref="K181:N181"/>
    <mergeCell ref="K183:N183"/>
    <mergeCell ref="BC169:BF169"/>
    <mergeCell ref="C175:J175"/>
    <mergeCell ref="K176:N176"/>
    <mergeCell ref="O176:R176"/>
    <mergeCell ref="S176:V176"/>
    <mergeCell ref="W176:Z176"/>
    <mergeCell ref="AA176:AD176"/>
    <mergeCell ref="AE176:AH176"/>
    <mergeCell ref="AI176:AL176"/>
    <mergeCell ref="AM176:AP176"/>
    <mergeCell ref="AQ176:AT176"/>
    <mergeCell ref="AU176:AX176"/>
    <mergeCell ref="AY176:BB176"/>
    <mergeCell ref="BC176:BF176"/>
    <mergeCell ref="AU169:AX169"/>
    <mergeCell ref="AY169:BB169"/>
    <mergeCell ref="O179:R179"/>
    <mergeCell ref="O180:R180"/>
    <mergeCell ref="O181:R181"/>
    <mergeCell ref="S179:V179"/>
    <mergeCell ref="W179:Z179"/>
    <mergeCell ref="W181:Z181"/>
    <mergeCell ref="AA179:AD179"/>
    <mergeCell ref="AE179:AH179"/>
    <mergeCell ref="AA181:AD181"/>
    <mergeCell ref="AE181:AH181"/>
    <mergeCell ref="W183:Z183"/>
    <mergeCell ref="AA183:AD183"/>
    <mergeCell ref="AE183:AH183"/>
    <mergeCell ref="AI180:AL180"/>
    <mergeCell ref="AM180:AP180"/>
    <mergeCell ref="AQ180:AT180"/>
    <mergeCell ref="AU180:AX180"/>
    <mergeCell ref="AY180:BB180"/>
    <mergeCell ref="BC180:BF180"/>
    <mergeCell ref="S180:V180"/>
    <mergeCell ref="S181:V181"/>
    <mergeCell ref="S183:V183"/>
    <mergeCell ref="AI183:AL183"/>
    <mergeCell ref="AM183:AP183"/>
    <mergeCell ref="AQ183:AT183"/>
    <mergeCell ref="AU183:AX183"/>
    <mergeCell ref="AY183:BB183"/>
    <mergeCell ref="BC183:BF183"/>
    <mergeCell ref="E124:F124"/>
    <mergeCell ref="T187:Z187"/>
    <mergeCell ref="K186:AR186"/>
    <mergeCell ref="C182:J182"/>
    <mergeCell ref="BC182:BF182"/>
    <mergeCell ref="AY182:BB182"/>
    <mergeCell ref="AU182:AX182"/>
    <mergeCell ref="AQ182:AT182"/>
    <mergeCell ref="AM182:AP182"/>
    <mergeCell ref="AI182:AL182"/>
    <mergeCell ref="AE182:AH182"/>
    <mergeCell ref="AA182:AD182"/>
    <mergeCell ref="W182:Z182"/>
    <mergeCell ref="S182:V182"/>
    <mergeCell ref="O182:R182"/>
    <mergeCell ref="K182:N182"/>
    <mergeCell ref="AL187:AR187"/>
    <mergeCell ref="O183:R183"/>
    <mergeCell ref="AI181:AL181"/>
    <mergeCell ref="AM181:AP181"/>
    <mergeCell ref="AQ181:AT181"/>
    <mergeCell ref="AU181:AX181"/>
    <mergeCell ref="AY181:BB181"/>
    <mergeCell ref="BC181:BF181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AI179:AL179"/>
    <mergeCell ref="AM179:AP179"/>
    <mergeCell ref="AQ179:AT179"/>
    <mergeCell ref="AU179:AX179"/>
    <mergeCell ref="AY179:BB179"/>
    <mergeCell ref="BC179:BF179"/>
    <mergeCell ref="W180:Z180"/>
    <mergeCell ref="AA180:AD180"/>
    <mergeCell ref="AE180:AH180"/>
    <mergeCell ref="D104:D111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M272:O272"/>
    <mergeCell ref="M273:O273"/>
    <mergeCell ref="M274:O274"/>
    <mergeCell ref="S269:X269"/>
    <mergeCell ref="U270:W270"/>
    <mergeCell ref="U271:W271"/>
    <mergeCell ref="U272:W272"/>
    <mergeCell ref="U273:W273"/>
    <mergeCell ref="C112:C159"/>
    <mergeCell ref="K265:N265"/>
    <mergeCell ref="O261:R261"/>
    <mergeCell ref="O262:R262"/>
    <mergeCell ref="O263:R263"/>
    <mergeCell ref="O264:R264"/>
    <mergeCell ref="O265:R265"/>
    <mergeCell ref="S261:V261"/>
    <mergeCell ref="S262:V262"/>
    <mergeCell ref="S263:V263"/>
    <mergeCell ref="S264:V264"/>
    <mergeCell ref="E157:F157"/>
    <mergeCell ref="E158:F158"/>
    <mergeCell ref="E159:F159"/>
    <mergeCell ref="E133:F133"/>
    <mergeCell ref="E134:F134"/>
    <mergeCell ref="C64:C111"/>
    <mergeCell ref="C16:C63"/>
    <mergeCell ref="C238:C244"/>
    <mergeCell ref="C245:C251"/>
    <mergeCell ref="B199:BF199"/>
    <mergeCell ref="E257:J257"/>
    <mergeCell ref="C264:J264"/>
    <mergeCell ref="K269:P269"/>
    <mergeCell ref="D56:D63"/>
    <mergeCell ref="E56:F56"/>
    <mergeCell ref="E57:F57"/>
    <mergeCell ref="E58:F58"/>
    <mergeCell ref="E59:F59"/>
    <mergeCell ref="E60:F60"/>
    <mergeCell ref="E61:F61"/>
    <mergeCell ref="E62:F62"/>
    <mergeCell ref="E63:F63"/>
    <mergeCell ref="D152:D159"/>
    <mergeCell ref="E152:F152"/>
    <mergeCell ref="E153:F153"/>
    <mergeCell ref="E154:F154"/>
    <mergeCell ref="E155:F155"/>
    <mergeCell ref="E156:F156"/>
    <mergeCell ref="K264:N264"/>
    <mergeCell ref="AC270:AE270"/>
    <mergeCell ref="AC271:AE271"/>
    <mergeCell ref="AC272:AE272"/>
    <mergeCell ref="AC273:AE273"/>
    <mergeCell ref="AC274:AE274"/>
    <mergeCell ref="AC275:AE275"/>
    <mergeCell ref="AA269:AF269"/>
    <mergeCell ref="AI269:AN269"/>
    <mergeCell ref="AK270:AM270"/>
    <mergeCell ref="AK271:AM271"/>
    <mergeCell ref="AK272:AM272"/>
    <mergeCell ref="AK273:AM273"/>
    <mergeCell ref="AK274:AM274"/>
    <mergeCell ref="AK275:AM275"/>
    <mergeCell ref="AM264:AP264"/>
    <mergeCell ref="AM265:AP265"/>
    <mergeCell ref="AQ261:AT261"/>
    <mergeCell ref="AQ262:AT262"/>
    <mergeCell ref="AQ263:AT263"/>
    <mergeCell ref="AQ264:AT264"/>
    <mergeCell ref="AQ265:AT265"/>
    <mergeCell ref="AE261:AH261"/>
    <mergeCell ref="AE262:AH262"/>
    <mergeCell ref="AE263:AH263"/>
    <mergeCell ref="AE264:AH264"/>
    <mergeCell ref="AE265:AH265"/>
    <mergeCell ref="AI261:AL261"/>
    <mergeCell ref="AI262:AL262"/>
    <mergeCell ref="AI263:AL263"/>
    <mergeCell ref="AI264:AL264"/>
    <mergeCell ref="AI265:AL265"/>
    <mergeCell ref="BC261:BF261"/>
    <mergeCell ref="BC262:BF262"/>
    <mergeCell ref="BC263:BF263"/>
    <mergeCell ref="BC264:BF264"/>
    <mergeCell ref="BC265:BF265"/>
    <mergeCell ref="AI258:AL258"/>
    <mergeCell ref="AM258:AP258"/>
    <mergeCell ref="AQ258:AT258"/>
    <mergeCell ref="AU258:AX258"/>
    <mergeCell ref="AY258:BB258"/>
    <mergeCell ref="BC258:BF258"/>
    <mergeCell ref="AU261:AX261"/>
    <mergeCell ref="AU262:AX262"/>
    <mergeCell ref="AU263:AX263"/>
    <mergeCell ref="AU264:AX264"/>
    <mergeCell ref="AU265:AX265"/>
    <mergeCell ref="AY261:BB261"/>
    <mergeCell ref="AY262:BB262"/>
    <mergeCell ref="AY263:BB263"/>
    <mergeCell ref="AY264:BB264"/>
    <mergeCell ref="AY265:BB265"/>
    <mergeCell ref="AM261:AP261"/>
    <mergeCell ref="AM262:AP262"/>
    <mergeCell ref="AM263:AP263"/>
    <mergeCell ref="AE258:AH258"/>
    <mergeCell ref="AA258:AD258"/>
    <mergeCell ref="W258:Z258"/>
    <mergeCell ref="S258:V258"/>
    <mergeCell ref="O258:R258"/>
    <mergeCell ref="K258:N258"/>
    <mergeCell ref="C298:J298"/>
    <mergeCell ref="C305:J305"/>
    <mergeCell ref="K299:N299"/>
    <mergeCell ref="S265:V265"/>
    <mergeCell ref="W261:Z261"/>
    <mergeCell ref="W262:Z262"/>
    <mergeCell ref="W263:Z263"/>
    <mergeCell ref="W264:Z264"/>
    <mergeCell ref="W265:Z265"/>
    <mergeCell ref="AA261:AD261"/>
    <mergeCell ref="AA262:AD262"/>
    <mergeCell ref="AA263:AD263"/>
    <mergeCell ref="AA264:AD264"/>
    <mergeCell ref="AA265:AD265"/>
    <mergeCell ref="K268:AN268"/>
    <mergeCell ref="K261:N261"/>
    <mergeCell ref="K262:N262"/>
    <mergeCell ref="K263:N263"/>
    <mergeCell ref="BC299:BF299"/>
    <mergeCell ref="BC306:BF306"/>
    <mergeCell ref="AY306:BB306"/>
    <mergeCell ref="AY299:BB299"/>
    <mergeCell ref="AU299:AX299"/>
    <mergeCell ref="AU306:AX306"/>
    <mergeCell ref="AQ306:AT306"/>
    <mergeCell ref="AQ299:AT299"/>
    <mergeCell ref="AM299:AP299"/>
    <mergeCell ref="AM306:AP306"/>
    <mergeCell ref="AI299:AL299"/>
    <mergeCell ref="AE299:AH299"/>
    <mergeCell ref="AE306:AH306"/>
    <mergeCell ref="AA306:AD306"/>
    <mergeCell ref="AA299:AD299"/>
    <mergeCell ref="W299:Z299"/>
    <mergeCell ref="W306:Z306"/>
    <mergeCell ref="S306:V306"/>
    <mergeCell ref="S299:V299"/>
    <mergeCell ref="O299:R299"/>
    <mergeCell ref="O306:R306"/>
    <mergeCell ref="S309:V309"/>
    <mergeCell ref="S310:V310"/>
    <mergeCell ref="S311:V311"/>
    <mergeCell ref="S312:V312"/>
    <mergeCell ref="S313:V313"/>
    <mergeCell ref="O312:R312"/>
    <mergeCell ref="K312:N312"/>
    <mergeCell ref="K309:N309"/>
    <mergeCell ref="K310:N310"/>
    <mergeCell ref="K311:N311"/>
    <mergeCell ref="O309:R309"/>
    <mergeCell ref="O310:R310"/>
    <mergeCell ref="O311:R311"/>
    <mergeCell ref="O313:R313"/>
    <mergeCell ref="K313:N313"/>
    <mergeCell ref="AE310:AH310"/>
    <mergeCell ref="AE311:AH311"/>
    <mergeCell ref="AE312:AH312"/>
    <mergeCell ref="AE313:AH313"/>
    <mergeCell ref="AI309:AL309"/>
    <mergeCell ref="AI310:AL310"/>
    <mergeCell ref="AI311:AL311"/>
    <mergeCell ref="AI312:AL312"/>
    <mergeCell ref="AI313:AL313"/>
    <mergeCell ref="AY310:BB310"/>
    <mergeCell ref="AY311:BB311"/>
    <mergeCell ref="AY312:BB312"/>
    <mergeCell ref="AY313:BB313"/>
    <mergeCell ref="AM309:AP309"/>
    <mergeCell ref="AM310:AP310"/>
    <mergeCell ref="AM311:AP311"/>
    <mergeCell ref="AM312:AP312"/>
    <mergeCell ref="AM313:AP313"/>
    <mergeCell ref="AQ309:AT309"/>
    <mergeCell ref="AQ310:AT310"/>
    <mergeCell ref="AQ311:AT311"/>
    <mergeCell ref="AQ312:AT312"/>
    <mergeCell ref="AQ313:AT313"/>
    <mergeCell ref="BC309:BF309"/>
    <mergeCell ref="BC310:BF310"/>
    <mergeCell ref="BC311:BF311"/>
    <mergeCell ref="BC312:BF312"/>
    <mergeCell ref="BC313:BF313"/>
    <mergeCell ref="AW326:AZ326"/>
    <mergeCell ref="AW327:AZ327"/>
    <mergeCell ref="AW328:AZ328"/>
    <mergeCell ref="AW329:AZ329"/>
    <mergeCell ref="AU317:BC317"/>
    <mergeCell ref="AW318:AZ318"/>
    <mergeCell ref="AW319:AZ319"/>
    <mergeCell ref="AW320:AZ320"/>
    <mergeCell ref="AW321:AZ321"/>
    <mergeCell ref="AW322:AZ322"/>
    <mergeCell ref="AW323:AZ323"/>
    <mergeCell ref="AW324:AZ324"/>
    <mergeCell ref="AW325:AZ325"/>
    <mergeCell ref="AU309:AX309"/>
    <mergeCell ref="AU310:AX310"/>
    <mergeCell ref="AU311:AX311"/>
    <mergeCell ref="AU312:AX312"/>
    <mergeCell ref="AU313:AX313"/>
    <mergeCell ref="AY309:BB309"/>
  </mergeCells>
  <phoneticPr fontId="17" type="noConversion"/>
  <printOptions horizontalCentered="1"/>
  <pageMargins left="0.19685039370078741" right="0.19685039370078741" top="0.59055118110236227" bottom="0.39370078740157483" header="0.31496062992125984" footer="0.31496062992125984"/>
  <pageSetup paperSize="9" scale="30" orientation="landscape" r:id="rId1"/>
  <rowBreaks count="1" manualBreakCount="1">
    <brk id="276" min="1" max="57" man="1"/>
  </rowBreaks>
  <ignoredErrors>
    <ignoredError sqref="G212 G226 G24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6080-029F-45AB-ADDD-A14BD78F4118}">
  <dimension ref="B2:AB51"/>
  <sheetViews>
    <sheetView topLeftCell="A19" workbookViewId="0">
      <selection activeCell="F8" sqref="F8"/>
    </sheetView>
  </sheetViews>
  <sheetFormatPr defaultRowHeight="14" x14ac:dyDescent="0.3"/>
  <cols>
    <col min="3" max="3" width="13.5" customWidth="1"/>
  </cols>
  <sheetData>
    <row r="2" spans="2:28" ht="14.5" thickBot="1" x14ac:dyDescent="0.35"/>
    <row r="3" spans="2:28" ht="18" customHeight="1" thickBot="1" x14ac:dyDescent="0.35">
      <c r="B3" s="784" t="s">
        <v>70</v>
      </c>
      <c r="C3" s="785"/>
      <c r="D3" s="785"/>
      <c r="E3" s="785"/>
      <c r="F3" s="785"/>
      <c r="G3" s="785"/>
      <c r="H3" s="785"/>
      <c r="I3" s="785"/>
      <c r="J3" s="785"/>
      <c r="K3" s="785"/>
      <c r="L3" s="785"/>
      <c r="M3" s="785"/>
      <c r="N3" s="785"/>
      <c r="O3" s="786"/>
    </row>
    <row r="4" spans="2:28" ht="19.5" customHeight="1" thickBot="1" x14ac:dyDescent="0.35">
      <c r="B4" s="781" t="s">
        <v>102</v>
      </c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  <c r="N4" s="782"/>
      <c r="O4" s="783"/>
    </row>
    <row r="5" spans="2:28" ht="19.5" customHeight="1" thickBot="1" x14ac:dyDescent="0.35">
      <c r="B5" s="776" t="s">
        <v>71</v>
      </c>
      <c r="C5" s="806"/>
      <c r="D5" s="777"/>
      <c r="E5" s="15"/>
      <c r="F5" s="778" t="s">
        <v>72</v>
      </c>
      <c r="G5" s="780"/>
      <c r="H5" s="780"/>
      <c r="I5" s="780"/>
      <c r="J5" s="780"/>
      <c r="K5" s="780"/>
      <c r="L5" s="780"/>
      <c r="M5" s="780"/>
      <c r="N5" s="780"/>
      <c r="O5" s="779"/>
    </row>
    <row r="6" spans="2:28" ht="19.5" customHeight="1" x14ac:dyDescent="0.3">
      <c r="B6" s="807" t="s">
        <v>73</v>
      </c>
      <c r="C6" s="807" t="s">
        <v>74</v>
      </c>
      <c r="D6" s="807" t="s">
        <v>75</v>
      </c>
      <c r="E6" s="793"/>
      <c r="F6" s="774" t="s">
        <v>76</v>
      </c>
      <c r="G6" s="775"/>
      <c r="H6" s="774" t="s">
        <v>77</v>
      </c>
      <c r="I6" s="775"/>
      <c r="J6" s="774" t="s">
        <v>78</v>
      </c>
      <c r="K6" s="775"/>
      <c r="L6" s="774" t="s">
        <v>79</v>
      </c>
      <c r="M6" s="775"/>
      <c r="N6" s="774" t="s">
        <v>173</v>
      </c>
      <c r="O6" s="775"/>
    </row>
    <row r="7" spans="2:28" ht="19.5" customHeight="1" thickBot="1" x14ac:dyDescent="0.35">
      <c r="B7" s="808"/>
      <c r="C7" s="808"/>
      <c r="D7" s="808"/>
      <c r="E7" s="793"/>
      <c r="F7" s="776" t="s">
        <v>133</v>
      </c>
      <c r="G7" s="777"/>
      <c r="H7" s="776" t="s">
        <v>133</v>
      </c>
      <c r="I7" s="777"/>
      <c r="J7" s="776" t="s">
        <v>133</v>
      </c>
      <c r="K7" s="777"/>
      <c r="L7" s="776" t="s">
        <v>133</v>
      </c>
      <c r="M7" s="777"/>
      <c r="N7" s="776" t="s">
        <v>133</v>
      </c>
      <c r="O7" s="777"/>
      <c r="R7" t="s">
        <v>50</v>
      </c>
      <c r="U7" t="s">
        <v>64</v>
      </c>
      <c r="X7" s="8" t="s">
        <v>50</v>
      </c>
      <c r="AA7" t="s">
        <v>64</v>
      </c>
    </row>
    <row r="8" spans="2:28" ht="19.5" customHeight="1" thickBot="1" x14ac:dyDescent="0.35">
      <c r="B8" s="9" t="s">
        <v>17</v>
      </c>
      <c r="C8" s="10" t="s">
        <v>80</v>
      </c>
      <c r="D8" s="17" t="s">
        <v>104</v>
      </c>
      <c r="E8" s="15"/>
      <c r="F8" s="11"/>
      <c r="G8" s="12"/>
      <c r="H8" s="11"/>
      <c r="I8" s="10"/>
      <c r="J8" s="11"/>
      <c r="K8" s="10"/>
      <c r="L8" s="11"/>
      <c r="M8" s="10"/>
      <c r="N8" s="11"/>
      <c r="O8" s="10"/>
      <c r="R8" s="16">
        <v>6</v>
      </c>
      <c r="S8" t="s">
        <v>85</v>
      </c>
      <c r="U8" s="16">
        <v>6</v>
      </c>
      <c r="V8" t="s">
        <v>85</v>
      </c>
      <c r="X8" s="18">
        <v>3</v>
      </c>
      <c r="Y8" t="s">
        <v>85</v>
      </c>
      <c r="AA8" s="16">
        <v>3</v>
      </c>
      <c r="AB8" t="s">
        <v>85</v>
      </c>
    </row>
    <row r="9" spans="2:28" ht="19.5" customHeight="1" thickBot="1" x14ac:dyDescent="0.35">
      <c r="B9" s="9" t="s">
        <v>18</v>
      </c>
      <c r="C9" s="10" t="s">
        <v>81</v>
      </c>
      <c r="D9" s="17" t="s">
        <v>104</v>
      </c>
      <c r="E9" s="15"/>
      <c r="F9" s="11"/>
      <c r="G9" s="10"/>
      <c r="H9" s="11"/>
      <c r="I9" s="10"/>
      <c r="J9" s="11"/>
      <c r="K9" s="10"/>
      <c r="L9" s="11"/>
      <c r="M9" s="10"/>
      <c r="N9" s="11"/>
      <c r="O9" s="10"/>
      <c r="R9" s="16">
        <v>8</v>
      </c>
      <c r="S9" t="s">
        <v>32</v>
      </c>
      <c r="U9" s="16">
        <f>R9/R10*U10</f>
        <v>5.6000000000000005</v>
      </c>
      <c r="V9" t="s">
        <v>32</v>
      </c>
      <c r="X9" s="18">
        <v>8</v>
      </c>
      <c r="Y9" t="s">
        <v>32</v>
      </c>
      <c r="AA9" s="16">
        <f>X9/X10*AA10</f>
        <v>5.6000000000000005</v>
      </c>
      <c r="AB9" t="s">
        <v>32</v>
      </c>
    </row>
    <row r="10" spans="2:28" ht="19.5" customHeight="1" thickBot="1" x14ac:dyDescent="0.35">
      <c r="B10" s="9" t="s">
        <v>19</v>
      </c>
      <c r="C10" s="10" t="s">
        <v>82</v>
      </c>
      <c r="D10" s="17" t="s">
        <v>104</v>
      </c>
      <c r="E10" s="15"/>
      <c r="F10" s="11"/>
      <c r="G10" s="10"/>
      <c r="H10" s="11"/>
      <c r="I10" s="10"/>
      <c r="J10" s="11"/>
      <c r="K10" s="10"/>
      <c r="L10" s="11"/>
      <c r="M10" s="10"/>
      <c r="N10" s="11"/>
      <c r="O10" s="10"/>
      <c r="R10" s="16">
        <v>10</v>
      </c>
      <c r="S10" t="s">
        <v>86</v>
      </c>
      <c r="U10" s="16">
        <v>7</v>
      </c>
      <c r="V10" t="s">
        <v>86</v>
      </c>
      <c r="X10" s="18">
        <v>10</v>
      </c>
      <c r="Y10" t="s">
        <v>86</v>
      </c>
      <c r="AA10" s="16">
        <v>7</v>
      </c>
      <c r="AB10" t="s">
        <v>86</v>
      </c>
    </row>
    <row r="11" spans="2:28" ht="19.5" customHeight="1" thickBot="1" x14ac:dyDescent="0.35">
      <c r="B11" s="45" t="s">
        <v>20</v>
      </c>
      <c r="C11" s="12" t="s">
        <v>171</v>
      </c>
      <c r="D11" s="17" t="s">
        <v>104</v>
      </c>
      <c r="E11" s="15"/>
      <c r="F11" s="11"/>
      <c r="G11" s="10"/>
      <c r="H11" s="11"/>
      <c r="I11" s="10"/>
      <c r="J11" s="11"/>
      <c r="K11" s="10"/>
      <c r="L11" s="11"/>
      <c r="M11" s="10"/>
      <c r="N11" s="11"/>
      <c r="O11" s="10"/>
      <c r="R11" s="16"/>
      <c r="U11" s="16"/>
      <c r="X11" s="18"/>
      <c r="AA11" s="16"/>
    </row>
    <row r="12" spans="2:28" ht="19.5" customHeight="1" thickBot="1" x14ac:dyDescent="0.35">
      <c r="B12" s="9" t="s">
        <v>21</v>
      </c>
      <c r="C12" s="10" t="s">
        <v>172</v>
      </c>
      <c r="D12" s="17" t="s">
        <v>104</v>
      </c>
      <c r="E12" s="15"/>
      <c r="F12" s="11"/>
      <c r="G12" s="10"/>
      <c r="H12" s="11"/>
      <c r="I12" s="10"/>
      <c r="J12" s="11"/>
      <c r="K12" s="10"/>
      <c r="L12" s="11"/>
      <c r="M12" s="10"/>
      <c r="N12" s="11"/>
      <c r="O12" s="10"/>
      <c r="R12" s="16"/>
      <c r="U12" s="16"/>
      <c r="X12" s="18"/>
      <c r="AA12" s="16"/>
    </row>
    <row r="13" spans="2:28" ht="19.5" customHeight="1" thickBot="1" x14ac:dyDescent="0.35">
      <c r="B13" s="781" t="s">
        <v>83</v>
      </c>
      <c r="C13" s="782"/>
      <c r="D13" s="782"/>
      <c r="E13" s="783"/>
      <c r="F13" s="778"/>
      <c r="G13" s="779"/>
      <c r="H13" s="778"/>
      <c r="I13" s="779"/>
      <c r="J13" s="778"/>
      <c r="K13" s="779"/>
      <c r="L13" s="778"/>
      <c r="M13" s="779"/>
      <c r="N13" s="778"/>
      <c r="O13" s="779"/>
      <c r="R13" s="1">
        <f>R8*R9</f>
        <v>48</v>
      </c>
      <c r="S13" t="s">
        <v>87</v>
      </c>
      <c r="U13" s="1">
        <f>U8*U9</f>
        <v>33.6</v>
      </c>
      <c r="V13" t="s">
        <v>87</v>
      </c>
      <c r="X13" s="19">
        <f>X8*X9</f>
        <v>24</v>
      </c>
      <c r="Y13" t="s">
        <v>87</v>
      </c>
      <c r="AA13" s="1">
        <f>AA8*AA9</f>
        <v>16.8</v>
      </c>
      <c r="AB13" t="s">
        <v>87</v>
      </c>
    </row>
    <row r="14" spans="2:28" ht="19.5" customHeight="1" thickBot="1" x14ac:dyDescent="0.35">
      <c r="B14" s="781" t="s">
        <v>84</v>
      </c>
      <c r="C14" s="782"/>
      <c r="D14" s="782"/>
      <c r="E14" s="783"/>
      <c r="F14" s="778" t="e">
        <f>RANK(F13,$F13:$M13)</f>
        <v>#N/A</v>
      </c>
      <c r="G14" s="779"/>
      <c r="H14" s="778" t="e">
        <f>RANK(H13,$F13:$M13)</f>
        <v>#N/A</v>
      </c>
      <c r="I14" s="779"/>
      <c r="J14" s="778" t="e">
        <f>RANK(J13,$F13:$M13)</f>
        <v>#N/A</v>
      </c>
      <c r="K14" s="779"/>
      <c r="L14" s="778" t="e">
        <f>RANK(L13,$F13:$M13)</f>
        <v>#N/A</v>
      </c>
      <c r="M14" s="779"/>
      <c r="N14" s="778" t="e">
        <f>RANK(N13,$F13:$M13)</f>
        <v>#N/A</v>
      </c>
      <c r="O14" s="779"/>
    </row>
    <row r="15" spans="2:28" ht="19.5" customHeight="1" x14ac:dyDescent="0.3">
      <c r="B15" s="787" t="s">
        <v>103</v>
      </c>
      <c r="C15" s="788"/>
      <c r="D15" s="788"/>
      <c r="E15" s="788"/>
      <c r="F15" s="788"/>
      <c r="G15" s="788"/>
      <c r="H15" s="788"/>
      <c r="I15" s="788"/>
      <c r="J15" s="788"/>
      <c r="K15" s="788"/>
      <c r="L15" s="788"/>
      <c r="M15" s="788"/>
      <c r="N15" s="788"/>
      <c r="O15" s="788"/>
      <c r="R15" t="s">
        <v>118</v>
      </c>
      <c r="U15" t="s">
        <v>138</v>
      </c>
    </row>
    <row r="18" spans="2:21" ht="14.5" thickBot="1" x14ac:dyDescent="0.35"/>
    <row r="19" spans="2:21" ht="18.75" customHeight="1" thickBot="1" x14ac:dyDescent="0.35">
      <c r="B19" s="784" t="s">
        <v>88</v>
      </c>
      <c r="C19" s="785"/>
      <c r="D19" s="785"/>
      <c r="E19" s="785"/>
      <c r="F19" s="785"/>
      <c r="G19" s="785"/>
      <c r="H19" s="785"/>
      <c r="I19" s="785"/>
      <c r="J19" s="799"/>
    </row>
    <row r="20" spans="2:21" ht="19.5" customHeight="1" thickBot="1" x14ac:dyDescent="0.35">
      <c r="B20" s="781" t="s">
        <v>126</v>
      </c>
      <c r="C20" s="782"/>
      <c r="D20" s="782"/>
      <c r="E20" s="782"/>
      <c r="F20" s="782"/>
      <c r="G20" s="782"/>
      <c r="H20" s="782"/>
      <c r="I20" s="782"/>
      <c r="J20" s="783"/>
    </row>
    <row r="21" spans="2:21" ht="19.5" customHeight="1" thickBot="1" x14ac:dyDescent="0.35">
      <c r="B21" s="774" t="s">
        <v>89</v>
      </c>
      <c r="C21" s="805"/>
      <c r="D21" s="806" t="s">
        <v>74</v>
      </c>
      <c r="E21" s="777"/>
      <c r="F21" s="14" t="s">
        <v>73</v>
      </c>
      <c r="G21" s="14" t="s">
        <v>75</v>
      </c>
      <c r="H21" s="778" t="s">
        <v>90</v>
      </c>
      <c r="I21" s="780"/>
      <c r="J21" s="779"/>
    </row>
    <row r="22" spans="2:21" ht="19.5" customHeight="1" x14ac:dyDescent="0.3">
      <c r="B22" s="789" t="s">
        <v>91</v>
      </c>
      <c r="C22" s="790"/>
      <c r="D22" s="790" t="s">
        <v>93</v>
      </c>
      <c r="E22" s="791"/>
      <c r="F22" s="792" t="s">
        <v>17</v>
      </c>
      <c r="G22" s="792" t="s">
        <v>104</v>
      </c>
      <c r="H22" s="789" t="s">
        <v>105</v>
      </c>
      <c r="I22" s="790"/>
      <c r="J22" s="791"/>
      <c r="L22" s="20" t="s">
        <v>63</v>
      </c>
      <c r="M22" s="20"/>
      <c r="N22" s="20"/>
      <c r="O22" s="20" t="s">
        <v>52</v>
      </c>
      <c r="P22" s="20"/>
      <c r="Q22" s="20"/>
      <c r="R22" s="20" t="s">
        <v>52</v>
      </c>
      <c r="U22" s="8" t="s">
        <v>63</v>
      </c>
    </row>
    <row r="23" spans="2:21" ht="19.5" customHeight="1" thickBot="1" x14ac:dyDescent="0.35">
      <c r="B23" s="794" t="s">
        <v>134</v>
      </c>
      <c r="C23" s="795"/>
      <c r="D23" s="796" t="s">
        <v>104</v>
      </c>
      <c r="E23" s="797"/>
      <c r="F23" s="793"/>
      <c r="G23" s="793"/>
      <c r="H23" s="798" t="s">
        <v>106</v>
      </c>
      <c r="I23" s="796"/>
      <c r="J23" s="797"/>
      <c r="L23" s="20" t="s">
        <v>112</v>
      </c>
      <c r="M23" s="20"/>
      <c r="N23" s="20"/>
      <c r="O23" s="20" t="s">
        <v>53</v>
      </c>
      <c r="P23" s="20"/>
      <c r="Q23" s="20"/>
      <c r="R23" s="20" t="s">
        <v>53</v>
      </c>
      <c r="U23" s="8" t="s">
        <v>112</v>
      </c>
    </row>
    <row r="24" spans="2:21" ht="19.5" customHeight="1" x14ac:dyDescent="0.3">
      <c r="B24" s="789" t="s">
        <v>94</v>
      </c>
      <c r="C24" s="790"/>
      <c r="D24" s="790" t="s">
        <v>95</v>
      </c>
      <c r="E24" s="791"/>
      <c r="F24" s="792" t="s">
        <v>17</v>
      </c>
      <c r="G24" s="792" t="s">
        <v>104</v>
      </c>
      <c r="H24" s="789" t="s">
        <v>107</v>
      </c>
      <c r="I24" s="790"/>
      <c r="J24" s="791"/>
      <c r="L24" s="20" t="s">
        <v>113</v>
      </c>
      <c r="M24" s="20"/>
      <c r="N24" s="20"/>
      <c r="O24" s="20" t="s">
        <v>113</v>
      </c>
      <c r="P24" s="20"/>
      <c r="Q24" s="20"/>
      <c r="R24" s="20" t="s">
        <v>129</v>
      </c>
      <c r="U24" s="8" t="s">
        <v>135</v>
      </c>
    </row>
    <row r="25" spans="2:21" ht="19.5" customHeight="1" thickBot="1" x14ac:dyDescent="0.35">
      <c r="B25" s="794" t="s">
        <v>134</v>
      </c>
      <c r="C25" s="795"/>
      <c r="D25" s="800" t="s">
        <v>104</v>
      </c>
      <c r="E25" s="801"/>
      <c r="F25" s="793"/>
      <c r="G25" s="793"/>
      <c r="H25" s="802" t="s">
        <v>108</v>
      </c>
      <c r="I25" s="800"/>
      <c r="J25" s="801"/>
      <c r="L25" s="20" t="s">
        <v>114</v>
      </c>
      <c r="M25" s="20"/>
      <c r="N25" s="20"/>
      <c r="O25" s="20" t="s">
        <v>115</v>
      </c>
      <c r="P25" s="20"/>
      <c r="Q25" s="20"/>
      <c r="R25" s="20" t="s">
        <v>130</v>
      </c>
      <c r="U25" s="8" t="s">
        <v>136</v>
      </c>
    </row>
    <row r="26" spans="2:21" ht="19.5" customHeight="1" x14ac:dyDescent="0.3">
      <c r="B26" s="789" t="s">
        <v>96</v>
      </c>
      <c r="C26" s="790"/>
      <c r="D26" s="790" t="s">
        <v>98</v>
      </c>
      <c r="E26" s="791"/>
      <c r="F26" s="17" t="s">
        <v>17</v>
      </c>
      <c r="G26" s="17" t="s">
        <v>104</v>
      </c>
      <c r="H26" s="789" t="s">
        <v>109</v>
      </c>
      <c r="I26" s="790"/>
      <c r="J26" s="791"/>
      <c r="L26" s="20" t="s">
        <v>116</v>
      </c>
      <c r="M26" s="20"/>
      <c r="N26" s="20"/>
      <c r="O26" s="20" t="s">
        <v>117</v>
      </c>
      <c r="P26" s="20"/>
      <c r="Q26" s="20"/>
      <c r="R26" s="20" t="s">
        <v>131</v>
      </c>
      <c r="U26" s="8" t="s">
        <v>137</v>
      </c>
    </row>
    <row r="27" spans="2:21" ht="19.5" customHeight="1" x14ac:dyDescent="0.3">
      <c r="B27" s="798" t="s">
        <v>97</v>
      </c>
      <c r="C27" s="796"/>
      <c r="D27" s="796" t="s">
        <v>104</v>
      </c>
      <c r="E27" s="797"/>
      <c r="F27" s="15" t="s">
        <v>18</v>
      </c>
      <c r="G27" s="15" t="s">
        <v>104</v>
      </c>
      <c r="H27" s="798" t="s">
        <v>140</v>
      </c>
      <c r="I27" s="796"/>
      <c r="J27" s="797"/>
      <c r="L27" s="20"/>
      <c r="M27" s="20"/>
      <c r="N27" s="20"/>
      <c r="O27" s="20"/>
      <c r="P27" s="20"/>
      <c r="Q27" s="20"/>
      <c r="R27" s="20"/>
    </row>
    <row r="28" spans="2:21" ht="19.5" customHeight="1" thickBot="1" x14ac:dyDescent="0.35">
      <c r="B28" s="803" t="s">
        <v>92</v>
      </c>
      <c r="C28" s="804"/>
      <c r="D28" s="13"/>
      <c r="E28" s="10"/>
      <c r="F28" s="9" t="s">
        <v>19</v>
      </c>
      <c r="G28" s="9" t="s">
        <v>104</v>
      </c>
      <c r="H28" s="802"/>
      <c r="I28" s="800"/>
      <c r="J28" s="801"/>
      <c r="L28" s="20" t="s">
        <v>120</v>
      </c>
      <c r="M28" s="20"/>
      <c r="N28" s="20"/>
      <c r="O28" s="20" t="s">
        <v>119</v>
      </c>
      <c r="P28" s="20"/>
      <c r="Q28" s="20"/>
      <c r="R28" s="20" t="s">
        <v>132</v>
      </c>
      <c r="U28" t="s">
        <v>139</v>
      </c>
    </row>
    <row r="29" spans="2:21" ht="19.5" customHeight="1" x14ac:dyDescent="0.3">
      <c r="B29" s="789" t="s">
        <v>99</v>
      </c>
      <c r="C29" s="790"/>
      <c r="D29" s="790" t="s">
        <v>101</v>
      </c>
      <c r="E29" s="791"/>
      <c r="F29" s="17" t="s">
        <v>17</v>
      </c>
      <c r="G29" s="15" t="s">
        <v>104</v>
      </c>
      <c r="H29" s="789" t="s">
        <v>110</v>
      </c>
      <c r="I29" s="790"/>
      <c r="J29" s="791"/>
    </row>
    <row r="30" spans="2:21" ht="19.5" customHeight="1" x14ac:dyDescent="0.3">
      <c r="B30" s="798" t="s">
        <v>100</v>
      </c>
      <c r="C30" s="796"/>
      <c r="D30" s="796" t="s">
        <v>104</v>
      </c>
      <c r="E30" s="797"/>
      <c r="F30" s="15" t="s">
        <v>18</v>
      </c>
      <c r="G30" s="15" t="s">
        <v>104</v>
      </c>
      <c r="H30" s="798"/>
      <c r="I30" s="796"/>
      <c r="J30" s="797"/>
    </row>
    <row r="31" spans="2:21" ht="19.5" customHeight="1" thickBot="1" x14ac:dyDescent="0.35">
      <c r="B31" s="803" t="s">
        <v>92</v>
      </c>
      <c r="C31" s="804"/>
      <c r="D31" s="800"/>
      <c r="E31" s="801"/>
      <c r="F31" s="9" t="s">
        <v>19</v>
      </c>
      <c r="G31" s="15" t="s">
        <v>104</v>
      </c>
      <c r="H31" s="798" t="s">
        <v>111</v>
      </c>
      <c r="I31" s="796"/>
      <c r="J31" s="797"/>
    </row>
    <row r="32" spans="2:21" ht="19.5" customHeight="1" thickBot="1" x14ac:dyDescent="0.35">
      <c r="B32" s="781" t="s">
        <v>127</v>
      </c>
      <c r="C32" s="782"/>
      <c r="D32" s="782"/>
      <c r="E32" s="782"/>
      <c r="F32" s="782"/>
      <c r="G32" s="782"/>
      <c r="H32" s="782"/>
      <c r="I32" s="782"/>
      <c r="J32" s="783"/>
    </row>
    <row r="33" spans="2:16" ht="19.5" customHeight="1" x14ac:dyDescent="0.3"/>
    <row r="34" spans="2:16" ht="19.5" customHeight="1" x14ac:dyDescent="0.3"/>
    <row r="35" spans="2:16" ht="19.5" customHeight="1" thickBot="1" x14ac:dyDescent="0.35"/>
    <row r="36" spans="2:16" ht="19.5" customHeight="1" thickBot="1" x14ac:dyDescent="0.35">
      <c r="B36" s="784" t="s">
        <v>125</v>
      </c>
      <c r="C36" s="785"/>
      <c r="D36" s="785"/>
      <c r="E36" s="785"/>
      <c r="F36" s="785"/>
      <c r="G36" s="785"/>
      <c r="H36" s="785"/>
      <c r="I36" s="785"/>
      <c r="J36" s="786"/>
      <c r="P36" t="s">
        <v>65</v>
      </c>
    </row>
    <row r="37" spans="2:16" ht="19.5" customHeight="1" thickBot="1" x14ac:dyDescent="0.35">
      <c r="B37" s="781" t="s">
        <v>126</v>
      </c>
      <c r="C37" s="782"/>
      <c r="D37" s="782"/>
      <c r="E37" s="782"/>
      <c r="F37" s="782"/>
      <c r="G37" s="782"/>
      <c r="H37" s="782"/>
      <c r="I37" s="782"/>
      <c r="J37" s="783"/>
      <c r="P37" t="s">
        <v>128</v>
      </c>
    </row>
    <row r="38" spans="2:16" ht="19.5" customHeight="1" thickBot="1" x14ac:dyDescent="0.35">
      <c r="B38" s="774" t="s">
        <v>89</v>
      </c>
      <c r="C38" s="805"/>
      <c r="D38" s="806" t="s">
        <v>74</v>
      </c>
      <c r="E38" s="777"/>
      <c r="F38" s="14" t="s">
        <v>73</v>
      </c>
      <c r="G38" s="14" t="s">
        <v>75</v>
      </c>
      <c r="H38" s="778" t="s">
        <v>90</v>
      </c>
      <c r="I38" s="780"/>
      <c r="J38" s="779"/>
      <c r="P38" t="s">
        <v>135</v>
      </c>
    </row>
    <row r="39" spans="2:16" ht="19.5" customHeight="1" x14ac:dyDescent="0.3">
      <c r="B39" s="789" t="s">
        <v>91</v>
      </c>
      <c r="C39" s="790"/>
      <c r="D39" s="790" t="s">
        <v>121</v>
      </c>
      <c r="E39" s="791"/>
      <c r="F39" s="792" t="s">
        <v>17</v>
      </c>
      <c r="G39" s="792" t="s">
        <v>104</v>
      </c>
      <c r="H39" s="789" t="s">
        <v>105</v>
      </c>
      <c r="I39" s="790"/>
      <c r="J39" s="791"/>
      <c r="P39" t="s">
        <v>141</v>
      </c>
    </row>
    <row r="40" spans="2:16" ht="19.5" customHeight="1" thickBot="1" x14ac:dyDescent="0.35">
      <c r="B40" s="794" t="s">
        <v>134</v>
      </c>
      <c r="C40" s="795"/>
      <c r="D40" s="796" t="s">
        <v>104</v>
      </c>
      <c r="E40" s="797"/>
      <c r="F40" s="793"/>
      <c r="G40" s="793"/>
      <c r="H40" s="798" t="s">
        <v>106</v>
      </c>
      <c r="I40" s="796"/>
      <c r="J40" s="797"/>
      <c r="P40" t="s">
        <v>142</v>
      </c>
    </row>
    <row r="41" spans="2:16" ht="19.5" customHeight="1" x14ac:dyDescent="0.3">
      <c r="B41" s="789" t="s">
        <v>94</v>
      </c>
      <c r="C41" s="790"/>
      <c r="D41" s="790" t="s">
        <v>122</v>
      </c>
      <c r="E41" s="791"/>
      <c r="F41" s="792" t="s">
        <v>17</v>
      </c>
      <c r="G41" s="792" t="s">
        <v>104</v>
      </c>
      <c r="H41" s="789" t="s">
        <v>107</v>
      </c>
      <c r="I41" s="790"/>
      <c r="J41" s="791"/>
    </row>
    <row r="42" spans="2:16" ht="19.5" customHeight="1" thickBot="1" x14ac:dyDescent="0.35">
      <c r="B42" s="794" t="s">
        <v>134</v>
      </c>
      <c r="C42" s="795"/>
      <c r="D42" s="800" t="s">
        <v>104</v>
      </c>
      <c r="E42" s="801"/>
      <c r="F42" s="793"/>
      <c r="G42" s="793"/>
      <c r="H42" s="802" t="s">
        <v>108</v>
      </c>
      <c r="I42" s="800"/>
      <c r="J42" s="801"/>
      <c r="P42" t="s">
        <v>143</v>
      </c>
    </row>
    <row r="43" spans="2:16" ht="19.5" customHeight="1" x14ac:dyDescent="0.3">
      <c r="B43" s="789" t="s">
        <v>96</v>
      </c>
      <c r="C43" s="790"/>
      <c r="D43" s="790" t="s">
        <v>123</v>
      </c>
      <c r="E43" s="791"/>
      <c r="F43" s="17" t="s">
        <v>17</v>
      </c>
      <c r="G43" s="17" t="s">
        <v>104</v>
      </c>
      <c r="H43" s="789" t="s">
        <v>109</v>
      </c>
      <c r="I43" s="790"/>
      <c r="J43" s="791"/>
    </row>
    <row r="44" spans="2:16" ht="19.5" customHeight="1" x14ac:dyDescent="0.3">
      <c r="B44" s="798" t="s">
        <v>97</v>
      </c>
      <c r="C44" s="796"/>
      <c r="D44" s="796" t="s">
        <v>104</v>
      </c>
      <c r="E44" s="797"/>
      <c r="F44" s="15" t="s">
        <v>18</v>
      </c>
      <c r="G44" s="15" t="s">
        <v>104</v>
      </c>
      <c r="H44" s="798" t="s">
        <v>140</v>
      </c>
      <c r="I44" s="796"/>
      <c r="J44" s="797"/>
    </row>
    <row r="45" spans="2:16" ht="19.5" customHeight="1" thickBot="1" x14ac:dyDescent="0.35">
      <c r="B45" s="803" t="s">
        <v>92</v>
      </c>
      <c r="C45" s="804"/>
      <c r="D45" s="13"/>
      <c r="E45" s="10"/>
      <c r="F45" s="9" t="s">
        <v>19</v>
      </c>
      <c r="G45" s="9" t="s">
        <v>104</v>
      </c>
      <c r="H45" s="802"/>
      <c r="I45" s="800"/>
      <c r="J45" s="801"/>
    </row>
    <row r="46" spans="2:16" ht="19.5" customHeight="1" x14ac:dyDescent="0.3">
      <c r="B46" s="789" t="s">
        <v>99</v>
      </c>
      <c r="C46" s="790"/>
      <c r="D46" s="796" t="s">
        <v>124</v>
      </c>
      <c r="E46" s="797"/>
      <c r="F46" s="17" t="s">
        <v>17</v>
      </c>
      <c r="G46" s="15" t="s">
        <v>104</v>
      </c>
      <c r="H46" s="789" t="s">
        <v>110</v>
      </c>
      <c r="I46" s="790"/>
      <c r="J46" s="791"/>
    </row>
    <row r="47" spans="2:16" ht="19.5" customHeight="1" x14ac:dyDescent="0.3">
      <c r="B47" s="798" t="s">
        <v>100</v>
      </c>
      <c r="C47" s="796"/>
      <c r="D47" s="796" t="s">
        <v>104</v>
      </c>
      <c r="E47" s="797"/>
      <c r="F47" s="15" t="s">
        <v>18</v>
      </c>
      <c r="G47" s="15" t="s">
        <v>104</v>
      </c>
      <c r="H47" s="798"/>
      <c r="I47" s="796"/>
      <c r="J47" s="797"/>
    </row>
    <row r="48" spans="2:16" ht="19.5" customHeight="1" thickBot="1" x14ac:dyDescent="0.35">
      <c r="B48" s="803" t="s">
        <v>92</v>
      </c>
      <c r="C48" s="804"/>
      <c r="D48" s="800"/>
      <c r="E48" s="801"/>
      <c r="F48" s="9" t="s">
        <v>19</v>
      </c>
      <c r="G48" s="15" t="s">
        <v>104</v>
      </c>
      <c r="H48" s="798" t="s">
        <v>111</v>
      </c>
      <c r="I48" s="796"/>
      <c r="J48" s="797"/>
    </row>
    <row r="49" spans="2:10" ht="14.5" thickBot="1" x14ac:dyDescent="0.35">
      <c r="B49" s="781" t="s">
        <v>127</v>
      </c>
      <c r="C49" s="782"/>
      <c r="D49" s="782"/>
      <c r="E49" s="782"/>
      <c r="F49" s="782"/>
      <c r="G49" s="782"/>
      <c r="H49" s="782"/>
      <c r="I49" s="782"/>
      <c r="J49" s="783"/>
    </row>
    <row r="51" spans="2:10" ht="32.25" customHeight="1" x14ac:dyDescent="0.3"/>
  </sheetData>
  <mergeCells count="109">
    <mergeCell ref="H7:I7"/>
    <mergeCell ref="J6:K6"/>
    <mergeCell ref="J7:K7"/>
    <mergeCell ref="L6:M6"/>
    <mergeCell ref="L7:M7"/>
    <mergeCell ref="B5:D5"/>
    <mergeCell ref="B6:B7"/>
    <mergeCell ref="D6:D7"/>
    <mergeCell ref="E6:E7"/>
    <mergeCell ref="F6:G6"/>
    <mergeCell ref="F7:G7"/>
    <mergeCell ref="H6:I6"/>
    <mergeCell ref="C6:C7"/>
    <mergeCell ref="B26:C26"/>
    <mergeCell ref="B27:C27"/>
    <mergeCell ref="F22:F23"/>
    <mergeCell ref="H21:J21"/>
    <mergeCell ref="B20:J20"/>
    <mergeCell ref="L13:M13"/>
    <mergeCell ref="L14:M14"/>
    <mergeCell ref="J13:K13"/>
    <mergeCell ref="J14:K14"/>
    <mergeCell ref="H26:J26"/>
    <mergeCell ref="H27:J27"/>
    <mergeCell ref="D26:E26"/>
    <mergeCell ref="D27:E27"/>
    <mergeCell ref="H24:J24"/>
    <mergeCell ref="G22:G23"/>
    <mergeCell ref="F24:F25"/>
    <mergeCell ref="G24:G25"/>
    <mergeCell ref="B13:E13"/>
    <mergeCell ref="F13:G13"/>
    <mergeCell ref="H13:I13"/>
    <mergeCell ref="B14:E14"/>
    <mergeCell ref="F14:G14"/>
    <mergeCell ref="H14:I14"/>
    <mergeCell ref="H25:J25"/>
    <mergeCell ref="D21:E21"/>
    <mergeCell ref="D22:E22"/>
    <mergeCell ref="D23:E23"/>
    <mergeCell ref="D25:E25"/>
    <mergeCell ref="B21:C21"/>
    <mergeCell ref="B22:C22"/>
    <mergeCell ref="B23:C23"/>
    <mergeCell ref="B25:C25"/>
    <mergeCell ref="B24:C24"/>
    <mergeCell ref="D24:E24"/>
    <mergeCell ref="B38:C38"/>
    <mergeCell ref="H38:J38"/>
    <mergeCell ref="B37:J37"/>
    <mergeCell ref="D38:E38"/>
    <mergeCell ref="H28:J28"/>
    <mergeCell ref="H29:J29"/>
    <mergeCell ref="H30:J30"/>
    <mergeCell ref="D29:E29"/>
    <mergeCell ref="D30:E30"/>
    <mergeCell ref="B30:C30"/>
    <mergeCell ref="B28:C28"/>
    <mergeCell ref="B29:C29"/>
    <mergeCell ref="H31:J31"/>
    <mergeCell ref="B31:C31"/>
    <mergeCell ref="D31:E31"/>
    <mergeCell ref="B48:C48"/>
    <mergeCell ref="D48:E48"/>
    <mergeCell ref="H48:J48"/>
    <mergeCell ref="B49:J49"/>
    <mergeCell ref="B45:C45"/>
    <mergeCell ref="H45:J45"/>
    <mergeCell ref="B46:C46"/>
    <mergeCell ref="D46:E46"/>
    <mergeCell ref="H46:J46"/>
    <mergeCell ref="B47:C47"/>
    <mergeCell ref="D47:E47"/>
    <mergeCell ref="H47:J47"/>
    <mergeCell ref="B44:C44"/>
    <mergeCell ref="D44:E44"/>
    <mergeCell ref="H44:J44"/>
    <mergeCell ref="B41:C41"/>
    <mergeCell ref="D41:E41"/>
    <mergeCell ref="F41:F42"/>
    <mergeCell ref="G41:G42"/>
    <mergeCell ref="H41:J41"/>
    <mergeCell ref="B42:C42"/>
    <mergeCell ref="D42:E42"/>
    <mergeCell ref="H42:J42"/>
    <mergeCell ref="N6:O6"/>
    <mergeCell ref="N7:O7"/>
    <mergeCell ref="N13:O13"/>
    <mergeCell ref="N14:O14"/>
    <mergeCell ref="F5:O5"/>
    <mergeCell ref="B4:O4"/>
    <mergeCell ref="B3:O3"/>
    <mergeCell ref="B15:O15"/>
    <mergeCell ref="B43:C43"/>
    <mergeCell ref="D43:E43"/>
    <mergeCell ref="H43:J43"/>
    <mergeCell ref="F39:F40"/>
    <mergeCell ref="G39:G40"/>
    <mergeCell ref="H39:J39"/>
    <mergeCell ref="B40:C40"/>
    <mergeCell ref="D40:E40"/>
    <mergeCell ref="H40:J40"/>
    <mergeCell ref="B39:C39"/>
    <mergeCell ref="D39:E39"/>
    <mergeCell ref="B32:J32"/>
    <mergeCell ref="B36:J36"/>
    <mergeCell ref="B19:J19"/>
    <mergeCell ref="H22:J22"/>
    <mergeCell ref="H23:J2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ACDB-D658-42F8-B9B2-CA686623AC3E}">
  <dimension ref="B5:N38"/>
  <sheetViews>
    <sheetView workbookViewId="0">
      <selection activeCell="F34" sqref="F34"/>
    </sheetView>
  </sheetViews>
  <sheetFormatPr defaultRowHeight="14" x14ac:dyDescent="0.3"/>
  <sheetData>
    <row r="5" spans="2:14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>
        <v>1260</v>
      </c>
    </row>
    <row r="6" spans="2:14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4" x14ac:dyDescent="0.3">
      <c r="B7" s="809" t="s">
        <v>152</v>
      </c>
      <c r="C7" s="1" t="s">
        <v>214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/>
      <c r="J7" s="1"/>
      <c r="K7" s="1"/>
      <c r="L7" s="1"/>
    </row>
    <row r="8" spans="2:14" x14ac:dyDescent="0.3">
      <c r="B8" s="809"/>
      <c r="C8" s="1" t="s">
        <v>215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1"/>
      <c r="J8" s="1"/>
      <c r="K8" s="1"/>
      <c r="L8" s="1"/>
    </row>
    <row r="9" spans="2:14" x14ac:dyDescent="0.3">
      <c r="B9" s="809"/>
      <c r="C9" s="1" t="s">
        <v>216</v>
      </c>
      <c r="D9" s="1">
        <v>5</v>
      </c>
      <c r="E9" s="1">
        <v>5</v>
      </c>
      <c r="F9" s="1">
        <v>5</v>
      </c>
      <c r="G9" s="1">
        <v>5</v>
      </c>
      <c r="H9" s="1">
        <v>5</v>
      </c>
      <c r="I9" s="1"/>
      <c r="J9" s="1"/>
      <c r="K9" s="1"/>
      <c r="L9" s="1"/>
    </row>
    <row r="10" spans="2:14" x14ac:dyDescent="0.3">
      <c r="B10" s="809"/>
      <c r="C10" s="1" t="s">
        <v>217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/>
      <c r="J10" s="1"/>
      <c r="K10" s="1"/>
      <c r="L10" s="1"/>
    </row>
    <row r="11" spans="2:14" x14ac:dyDescent="0.3">
      <c r="B11" s="809"/>
      <c r="C11" s="1" t="s">
        <v>218</v>
      </c>
      <c r="D11" s="1"/>
      <c r="E11" s="1"/>
      <c r="F11" s="1"/>
      <c r="G11" s="1"/>
      <c r="H11" s="1"/>
      <c r="I11" s="1"/>
      <c r="J11" s="1"/>
      <c r="K11" s="1"/>
      <c r="L11" s="1"/>
    </row>
    <row r="12" spans="2:14" x14ac:dyDescent="0.3">
      <c r="B12" s="1"/>
      <c r="C12" s="1"/>
      <c r="D12" s="1">
        <f>SUM(D7:D10)</f>
        <v>20</v>
      </c>
      <c r="E12" s="1">
        <f t="shared" ref="E12:H12" si="0">SUM(E7:E10)</f>
        <v>20</v>
      </c>
      <c r="F12" s="1">
        <f t="shared" si="0"/>
        <v>20</v>
      </c>
      <c r="G12" s="1">
        <f t="shared" si="0"/>
        <v>20</v>
      </c>
      <c r="H12" s="1">
        <f t="shared" si="0"/>
        <v>20</v>
      </c>
      <c r="I12" s="1"/>
      <c r="J12" s="1">
        <f>SUM(D12:H12)</f>
        <v>100</v>
      </c>
      <c r="K12" s="97">
        <f>J$38/D12</f>
        <v>63</v>
      </c>
      <c r="L12" s="99">
        <f>D12*K12</f>
        <v>1260</v>
      </c>
      <c r="M12">
        <f>SUM(D12:H12)*K12</f>
        <v>6300</v>
      </c>
      <c r="N12">
        <f>M12/5</f>
        <v>1260</v>
      </c>
    </row>
    <row r="13" spans="2:14" x14ac:dyDescent="0.3">
      <c r="B13" s="1"/>
      <c r="C13" s="1"/>
      <c r="D13" s="98"/>
      <c r="E13" s="1"/>
      <c r="F13" s="1"/>
      <c r="G13" s="1"/>
      <c r="H13" s="1"/>
      <c r="I13" s="1"/>
      <c r="J13" s="1"/>
      <c r="K13" s="1"/>
      <c r="L13" s="1"/>
    </row>
    <row r="14" spans="2:1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4" x14ac:dyDescent="0.3">
      <c r="B16" s="810" t="s">
        <v>153</v>
      </c>
      <c r="C16" s="1" t="s">
        <v>214</v>
      </c>
      <c r="D16" s="1">
        <v>400</v>
      </c>
      <c r="E16" s="1">
        <v>200</v>
      </c>
      <c r="F16" s="1"/>
      <c r="G16" s="1"/>
      <c r="H16" s="1"/>
      <c r="I16" s="1"/>
      <c r="J16" s="1">
        <f>SUM(D16:G16)</f>
        <v>600</v>
      </c>
      <c r="K16" s="99">
        <f t="shared" ref="K16:K17" si="1">J16*K$23</f>
        <v>1260</v>
      </c>
      <c r="L16" s="1"/>
      <c r="M16">
        <f>SUM(K16:K21)</f>
        <v>4200</v>
      </c>
      <c r="N16">
        <f>M16/6</f>
        <v>700</v>
      </c>
    </row>
    <row r="17" spans="2:14" x14ac:dyDescent="0.3">
      <c r="B17" s="810"/>
      <c r="C17" s="1" t="s">
        <v>215</v>
      </c>
      <c r="D17" s="1">
        <v>400</v>
      </c>
      <c r="E17" s="1">
        <v>200</v>
      </c>
      <c r="F17" s="1"/>
      <c r="G17" s="1"/>
      <c r="H17" s="1"/>
      <c r="I17" s="1"/>
      <c r="J17" s="1">
        <f>SUM(D17:G17)</f>
        <v>600</v>
      </c>
      <c r="K17" s="1">
        <f t="shared" si="1"/>
        <v>1260</v>
      </c>
      <c r="L17" s="1"/>
    </row>
    <row r="18" spans="2:14" x14ac:dyDescent="0.3">
      <c r="B18" s="810"/>
      <c r="C18" s="1" t="s">
        <v>216</v>
      </c>
      <c r="D18" s="1">
        <v>150</v>
      </c>
      <c r="E18" s="1">
        <v>150</v>
      </c>
      <c r="F18" s="1"/>
      <c r="G18" s="1"/>
      <c r="H18" s="1"/>
      <c r="I18" s="1"/>
      <c r="J18" s="1">
        <f t="shared" ref="J18:J19" si="2">SUM(D18:G18)</f>
        <v>300</v>
      </c>
      <c r="K18" s="1">
        <f>J18*K$23</f>
        <v>630</v>
      </c>
      <c r="L18" s="1"/>
    </row>
    <row r="19" spans="2:14" x14ac:dyDescent="0.3">
      <c r="B19" s="810"/>
      <c r="C19" s="1" t="s">
        <v>217</v>
      </c>
      <c r="D19" s="1">
        <v>150</v>
      </c>
      <c r="E19" s="1">
        <v>150</v>
      </c>
      <c r="F19" s="1"/>
      <c r="G19" s="1"/>
      <c r="H19" s="1"/>
      <c r="I19" s="1"/>
      <c r="J19" s="1">
        <f t="shared" si="2"/>
        <v>300</v>
      </c>
      <c r="K19" s="1">
        <f t="shared" ref="K19:K21" si="3">J19*K$23</f>
        <v>630</v>
      </c>
      <c r="L19" s="1"/>
    </row>
    <row r="20" spans="2:14" x14ac:dyDescent="0.3">
      <c r="B20" s="810"/>
      <c r="C20" s="1" t="s">
        <v>218</v>
      </c>
      <c r="D20" s="1">
        <v>100</v>
      </c>
      <c r="E20" s="1"/>
      <c r="F20" s="1"/>
      <c r="G20" s="1"/>
      <c r="H20" s="1"/>
      <c r="I20" s="1"/>
      <c r="J20" s="1">
        <f>SUM(D20:G20)</f>
        <v>100</v>
      </c>
      <c r="K20" s="1">
        <f t="shared" si="3"/>
        <v>210</v>
      </c>
      <c r="L20" s="1"/>
    </row>
    <row r="21" spans="2:14" x14ac:dyDescent="0.3">
      <c r="B21" s="810"/>
      <c r="C21" s="1" t="s">
        <v>219</v>
      </c>
      <c r="D21" s="1">
        <v>100</v>
      </c>
      <c r="E21" s="1"/>
      <c r="F21" s="1"/>
      <c r="G21" s="1"/>
      <c r="H21" s="1"/>
      <c r="I21" s="1"/>
      <c r="J21" s="1">
        <f>SUM(D21:G21)</f>
        <v>100</v>
      </c>
      <c r="K21" s="1">
        <f t="shared" si="3"/>
        <v>210</v>
      </c>
      <c r="L21" s="1"/>
    </row>
    <row r="22" spans="2:14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4" x14ac:dyDescent="0.3">
      <c r="B23" s="1"/>
      <c r="C23" s="1"/>
      <c r="D23" s="1">
        <f>SUM(D16:E21)/D21</f>
        <v>20</v>
      </c>
      <c r="E23" s="1"/>
      <c r="F23" s="1"/>
      <c r="G23" s="1"/>
      <c r="H23" s="1"/>
      <c r="I23" s="1"/>
      <c r="J23" s="1">
        <f>SUM(J16:J21)</f>
        <v>2000</v>
      </c>
      <c r="K23" s="97">
        <f>J38/J16</f>
        <v>2.1</v>
      </c>
      <c r="L23" s="1"/>
    </row>
    <row r="24" spans="2:14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4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4" x14ac:dyDescent="0.3">
      <c r="B26" s="810" t="s">
        <v>154</v>
      </c>
      <c r="C26" s="1" t="s">
        <v>214</v>
      </c>
      <c r="D26" s="1">
        <v>40</v>
      </c>
      <c r="E26" s="1">
        <v>20</v>
      </c>
      <c r="F26" s="1"/>
      <c r="G26" s="1"/>
      <c r="H26" s="1"/>
      <c r="I26" s="1"/>
      <c r="J26" s="1">
        <f>SUM(D26:G26)</f>
        <v>60</v>
      </c>
      <c r="K26" s="99">
        <f>J26*K$33</f>
        <v>1260</v>
      </c>
      <c r="L26" s="1"/>
      <c r="M26">
        <f>SUM(K26:K31)</f>
        <v>4200</v>
      </c>
      <c r="N26">
        <f>M26/6</f>
        <v>700</v>
      </c>
    </row>
    <row r="27" spans="2:14" x14ac:dyDescent="0.3">
      <c r="B27" s="810"/>
      <c r="C27" s="1" t="s">
        <v>215</v>
      </c>
      <c r="D27" s="1">
        <v>40</v>
      </c>
      <c r="E27" s="1">
        <v>20</v>
      </c>
      <c r="F27" s="1"/>
      <c r="G27" s="1"/>
      <c r="H27" s="1"/>
      <c r="I27" s="1"/>
      <c r="J27" s="1">
        <f>SUM(D27:G27)</f>
        <v>60</v>
      </c>
      <c r="K27" s="1">
        <f t="shared" ref="K27:K31" si="4">J27*K$33</f>
        <v>1260</v>
      </c>
      <c r="L27" s="1"/>
    </row>
    <row r="28" spans="2:14" x14ac:dyDescent="0.3">
      <c r="B28" s="810"/>
      <c r="C28" s="1" t="s">
        <v>216</v>
      </c>
      <c r="D28" s="1">
        <v>15</v>
      </c>
      <c r="E28" s="1">
        <v>15</v>
      </c>
      <c r="F28" s="1"/>
      <c r="G28" s="1"/>
      <c r="H28" s="1"/>
      <c r="I28" s="1"/>
      <c r="J28" s="1">
        <f t="shared" ref="J28:J29" si="5">SUM(D28:G28)</f>
        <v>30</v>
      </c>
      <c r="K28" s="1">
        <f t="shared" si="4"/>
        <v>630</v>
      </c>
      <c r="L28" s="1"/>
    </row>
    <row r="29" spans="2:14" x14ac:dyDescent="0.3">
      <c r="B29" s="810"/>
      <c r="C29" s="1" t="s">
        <v>217</v>
      </c>
      <c r="D29" s="1">
        <v>15</v>
      </c>
      <c r="E29" s="1">
        <v>15</v>
      </c>
      <c r="F29" s="1"/>
      <c r="G29" s="1"/>
      <c r="H29" s="1"/>
      <c r="I29" s="1"/>
      <c r="J29" s="1">
        <f t="shared" si="5"/>
        <v>30</v>
      </c>
      <c r="K29" s="1">
        <f t="shared" si="4"/>
        <v>630</v>
      </c>
      <c r="L29" s="1"/>
    </row>
    <row r="30" spans="2:14" x14ac:dyDescent="0.3">
      <c r="B30" s="810"/>
      <c r="C30" s="1" t="s">
        <v>218</v>
      </c>
      <c r="D30" s="1">
        <v>10</v>
      </c>
      <c r="E30" s="1"/>
      <c r="F30" s="1"/>
      <c r="G30" s="1"/>
      <c r="H30" s="1"/>
      <c r="I30" s="1"/>
      <c r="J30" s="1">
        <f>SUM(D30:G30)</f>
        <v>10</v>
      </c>
      <c r="K30" s="1">
        <f t="shared" si="4"/>
        <v>210</v>
      </c>
      <c r="L30" s="1"/>
    </row>
    <row r="31" spans="2:14" x14ac:dyDescent="0.3">
      <c r="B31" s="810"/>
      <c r="C31" s="1" t="s">
        <v>219</v>
      </c>
      <c r="D31" s="1">
        <v>10</v>
      </c>
      <c r="E31" s="1"/>
      <c r="F31" s="1"/>
      <c r="G31" s="1"/>
      <c r="H31" s="1"/>
      <c r="I31" s="1"/>
      <c r="J31" s="1">
        <f>SUM(D31:G31)</f>
        <v>10</v>
      </c>
      <c r="K31" s="1">
        <f t="shared" si="4"/>
        <v>210</v>
      </c>
      <c r="L31" s="1"/>
    </row>
    <row r="32" spans="2:14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3">
      <c r="B33" s="1"/>
      <c r="C33" s="1"/>
      <c r="D33" s="1">
        <f>SUM(D26:E31)/D31</f>
        <v>20</v>
      </c>
      <c r="E33" s="1"/>
      <c r="F33" s="1"/>
      <c r="G33" s="1"/>
      <c r="H33" s="1"/>
      <c r="I33" s="1"/>
      <c r="J33" s="1">
        <f>SUM(J26:J31)</f>
        <v>200</v>
      </c>
      <c r="K33" s="97">
        <f>J38/J26</f>
        <v>21</v>
      </c>
      <c r="L33" s="1"/>
    </row>
    <row r="34" spans="2:12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3">
      <c r="B38" s="1"/>
      <c r="C38" s="1"/>
      <c r="D38" s="1"/>
      <c r="E38" s="1"/>
      <c r="F38" s="1"/>
      <c r="G38" s="1"/>
      <c r="H38" s="1"/>
      <c r="I38" s="1"/>
      <c r="J38" s="811">
        <v>1260</v>
      </c>
      <c r="K38" s="811"/>
      <c r="L38" s="1"/>
    </row>
  </sheetData>
  <mergeCells count="4">
    <mergeCell ref="B7:B11"/>
    <mergeCell ref="B16:B21"/>
    <mergeCell ref="B26:B31"/>
    <mergeCell ref="J38:K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Gironi di qualificazione</vt:lpstr>
      <vt:lpstr>Gironi conclusivi</vt:lpstr>
      <vt:lpstr>Foglio1</vt:lpstr>
      <vt:lpstr>'Gironi di qualificazione'!Area_stampa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Noli</dc:creator>
  <cp:lastModifiedBy>Pietro Noli</cp:lastModifiedBy>
  <cp:lastPrinted>2024-07-28T16:37:02Z</cp:lastPrinted>
  <dcterms:created xsi:type="dcterms:W3CDTF">2018-03-11T09:12:48Z</dcterms:created>
  <dcterms:modified xsi:type="dcterms:W3CDTF">2024-07-28T16:43:38Z</dcterms:modified>
</cp:coreProperties>
</file>