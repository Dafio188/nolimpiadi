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cumenti\Immobili\Milano\Mille 26\Mio appartamento\Tornei\Nolimpiadi\2026-05-17 - Edizione 7\"/>
    </mc:Choice>
  </mc:AlternateContent>
  <xr:revisionPtr revIDLastSave="0" documentId="13_ncr:1_{0C8EC355-B8E4-49C0-A250-8E99E65CAEDD}" xr6:coauthVersionLast="47" xr6:coauthVersionMax="47" xr10:uidLastSave="{00000000-0000-0000-0000-000000000000}"/>
  <bookViews>
    <workbookView xWindow="-230" yWindow="-230" windowWidth="26060" windowHeight="15740" tabRatio="287" xr2:uid="{7D68D33B-EF62-4E21-9A63-DDCC32D95CAD}"/>
  </bookViews>
  <sheets>
    <sheet name="Gironi di qualificazione" sheetId="1" r:id="rId1"/>
    <sheet name="Gironi conclusivi" sheetId="2" r:id="rId2"/>
    <sheet name="Foglio1" sheetId="3" r:id="rId3"/>
  </sheets>
  <definedNames>
    <definedName name="_xlnm.Print_Area" localSheetId="0">'Gironi di qualificazione'!$C$3:$BG$169,'Gironi di qualificazione'!$B$171:$BF$252,'Gironi di qualificazione'!$B$264:$BF$322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3" i="1" l="1"/>
  <c r="J223" i="1"/>
  <c r="I223" i="1"/>
  <c r="J226" i="1"/>
  <c r="I226" i="1"/>
  <c r="J209" i="1"/>
  <c r="I209" i="1"/>
  <c r="J212" i="1"/>
  <c r="I212" i="1"/>
  <c r="J213" i="1"/>
  <c r="I213" i="1"/>
  <c r="J227" i="1"/>
  <c r="I227" i="1"/>
  <c r="BF137" i="1"/>
  <c r="BB137" i="1"/>
  <c r="AX137" i="1"/>
  <c r="AT137" i="1"/>
  <c r="AP137" i="1"/>
  <c r="AL137" i="1"/>
  <c r="AH137" i="1"/>
  <c r="AD137" i="1"/>
  <c r="Z137" i="1"/>
  <c r="V137" i="1"/>
  <c r="R137" i="1"/>
  <c r="N137" i="1"/>
  <c r="AN253" i="1"/>
  <c r="AF253" i="1"/>
  <c r="X253" i="1"/>
  <c r="J185" i="1"/>
  <c r="I185" i="1"/>
  <c r="J184" i="1"/>
  <c r="I184" i="1"/>
  <c r="J183" i="1"/>
  <c r="I183" i="1"/>
  <c r="J182" i="1"/>
  <c r="I182" i="1"/>
  <c r="J181" i="1"/>
  <c r="I181" i="1"/>
  <c r="AA137" i="1"/>
  <c r="BE137" i="1" l="1"/>
  <c r="BC137" i="1"/>
  <c r="BA137" i="1"/>
  <c r="AY137" i="1"/>
  <c r="AW137" i="1"/>
  <c r="AU137" i="1"/>
  <c r="AS137" i="1"/>
  <c r="AQ137" i="1"/>
  <c r="AO137" i="1"/>
  <c r="AM137" i="1"/>
  <c r="AK137" i="1"/>
  <c r="AI137" i="1"/>
  <c r="AG137" i="1"/>
  <c r="AE137" i="1"/>
  <c r="AC137" i="1"/>
  <c r="Y137" i="1"/>
  <c r="W137" i="1"/>
  <c r="U137" i="1"/>
  <c r="Q137" i="1"/>
  <c r="O137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K137" i="1"/>
  <c r="BD137" i="1" l="1"/>
  <c r="AV137" i="1"/>
  <c r="AZ137" i="1"/>
  <c r="X137" i="1"/>
  <c r="AR137" i="1"/>
  <c r="AN137" i="1"/>
  <c r="AJ137" i="1"/>
  <c r="AF137" i="1"/>
  <c r="AB137" i="1"/>
  <c r="L137" i="1"/>
  <c r="T137" i="1"/>
  <c r="P137" i="1"/>
  <c r="M137" i="1" l="1"/>
  <c r="W23" i="1"/>
  <c r="W18" i="1"/>
  <c r="W16" i="1"/>
  <c r="S137" i="1"/>
  <c r="BC102" i="1" l="1"/>
  <c r="BC100" i="1"/>
  <c r="AY103" i="1"/>
  <c r="AY98" i="1"/>
  <c r="AU103" i="1"/>
  <c r="AU101" i="1"/>
  <c r="AQ102" i="1"/>
  <c r="AQ96" i="1"/>
  <c r="AM100" i="1"/>
  <c r="AM99" i="1"/>
  <c r="AM97" i="1"/>
  <c r="AI101" i="1"/>
  <c r="AI99" i="1"/>
  <c r="K101" i="1"/>
  <c r="K99" i="1"/>
  <c r="K96" i="1"/>
  <c r="O103" i="1"/>
  <c r="O100" i="1"/>
  <c r="O98" i="1"/>
  <c r="O97" i="1"/>
  <c r="S101" i="1"/>
  <c r="S98" i="1"/>
  <c r="S97" i="1"/>
  <c r="S96" i="1"/>
  <c r="W103" i="1"/>
  <c r="W102" i="1"/>
  <c r="W99" i="1"/>
  <c r="AE102" i="1"/>
  <c r="AE97" i="1"/>
  <c r="AE96" i="1"/>
  <c r="AA100" i="1"/>
  <c r="AA98" i="1"/>
  <c r="BF135" i="1"/>
  <c r="BB133" i="1"/>
  <c r="AX132" i="1"/>
  <c r="AT131" i="1"/>
  <c r="AT129" i="1"/>
  <c r="AP134" i="1"/>
  <c r="AL134" i="1"/>
  <c r="AL128" i="1"/>
  <c r="AH135" i="1"/>
  <c r="AH130" i="1"/>
  <c r="AD129" i="1"/>
  <c r="Z133" i="1"/>
  <c r="Z128" i="1"/>
  <c r="V132" i="1"/>
  <c r="N130" i="1"/>
  <c r="R131" i="1"/>
  <c r="BE85" i="1"/>
  <c r="BE83" i="1"/>
  <c r="BA86" i="1"/>
  <c r="AW80" i="1"/>
  <c r="AO86" i="1"/>
  <c r="AO83" i="1"/>
  <c r="AK82" i="1"/>
  <c r="AG85" i="1"/>
  <c r="AG82" i="1"/>
  <c r="AC84" i="1"/>
  <c r="Y81" i="1"/>
  <c r="U84" i="1"/>
  <c r="U81" i="1"/>
  <c r="Q87" i="1"/>
  <c r="M87" i="1"/>
  <c r="M80" i="1"/>
  <c r="BE125" i="1"/>
  <c r="BA123" i="1"/>
  <c r="BA120" i="1"/>
  <c r="AW122" i="1"/>
  <c r="AW121" i="1"/>
  <c r="AS124" i="1"/>
  <c r="AS122" i="1"/>
  <c r="AO127" i="1"/>
  <c r="AK127" i="1"/>
  <c r="AG123" i="1"/>
  <c r="AC125" i="1"/>
  <c r="Y124" i="1"/>
  <c r="Y121" i="1"/>
  <c r="U126" i="1"/>
  <c r="Q120" i="1"/>
  <c r="M126" i="1"/>
  <c r="BD105" i="1"/>
  <c r="BD107" i="1"/>
  <c r="AZ110" i="1"/>
  <c r="AZ105" i="1"/>
  <c r="AV110" i="1"/>
  <c r="AV104" i="1"/>
  <c r="AR111" i="1"/>
  <c r="AN106" i="1"/>
  <c r="AJ108" i="1"/>
  <c r="AF109" i="1"/>
  <c r="AB111" i="1"/>
  <c r="AB104" i="1"/>
  <c r="X106" i="1"/>
  <c r="T107" i="1"/>
  <c r="P109" i="1"/>
  <c r="L108" i="1"/>
  <c r="R93" i="1"/>
  <c r="BF88" i="1"/>
  <c r="BF90" i="1"/>
  <c r="BB92" i="1"/>
  <c r="BB89" i="1"/>
  <c r="AX94" i="1"/>
  <c r="AT91" i="1"/>
  <c r="AP95" i="1"/>
  <c r="AP93" i="1"/>
  <c r="AL91" i="1"/>
  <c r="AD95" i="1"/>
  <c r="AD89" i="1"/>
  <c r="V94" i="1"/>
  <c r="V90" i="1"/>
  <c r="N92" i="1"/>
  <c r="R88" i="1"/>
  <c r="BF55" i="1"/>
  <c r="BB53" i="1"/>
  <c r="AX52" i="1"/>
  <c r="AX50" i="1"/>
  <c r="AT51" i="1"/>
  <c r="AP54" i="1"/>
  <c r="AL53" i="1"/>
  <c r="AH50" i="1"/>
  <c r="AH48" i="1"/>
  <c r="AD49" i="1"/>
  <c r="Z54" i="1"/>
  <c r="Z52" i="1"/>
  <c r="V49" i="1"/>
  <c r="N51" i="1"/>
  <c r="R48" i="1"/>
  <c r="N55" i="1"/>
  <c r="AA61" i="1"/>
  <c r="X71" i="1"/>
  <c r="T71" i="1"/>
  <c r="L70" i="1"/>
  <c r="AJ69" i="1"/>
  <c r="AZ69" i="1"/>
  <c r="BD68" i="1"/>
  <c r="X68" i="1"/>
  <c r="P67" i="1"/>
  <c r="AF67" i="1"/>
  <c r="AR66" i="1"/>
  <c r="AB66" i="1"/>
  <c r="P65" i="1"/>
  <c r="L65" i="1"/>
  <c r="AF64" i="1"/>
  <c r="AU63" i="1"/>
  <c r="BC63" i="1"/>
  <c r="AY63" i="1"/>
  <c r="O62" i="1"/>
  <c r="AA62" i="1"/>
  <c r="AI63" i="1"/>
  <c r="AI62" i="1"/>
  <c r="BC62" i="1"/>
  <c r="AQ61" i="1"/>
  <c r="S61" i="1"/>
  <c r="K61" i="1"/>
  <c r="AA59" i="1"/>
  <c r="W59" i="1"/>
  <c r="AU59" i="1"/>
  <c r="K59" i="1"/>
  <c r="AQ60" i="1"/>
  <c r="AM60" i="1"/>
  <c r="AI60" i="1"/>
  <c r="AE60" i="1"/>
  <c r="AU58" i="1"/>
  <c r="O58" i="1"/>
  <c r="W58" i="1"/>
  <c r="AY58" i="1"/>
  <c r="AQ57" i="1"/>
  <c r="AM57" i="1"/>
  <c r="AU57" i="1"/>
  <c r="AE57" i="1"/>
  <c r="S56" i="1"/>
  <c r="AI56" i="1"/>
  <c r="AM56" i="1"/>
  <c r="AA56" i="1"/>
  <c r="Q46" i="1"/>
  <c r="AK46" i="1"/>
  <c r="AW45" i="1"/>
  <c r="AC45" i="1"/>
  <c r="AO44" i="1"/>
  <c r="M44" i="1"/>
  <c r="AC43" i="1"/>
  <c r="Q43" i="1"/>
  <c r="AS47" i="1"/>
  <c r="AG47" i="1"/>
  <c r="BE42" i="1"/>
  <c r="BA42" i="1"/>
  <c r="AS41" i="1"/>
  <c r="U40" i="1"/>
  <c r="AV31" i="1"/>
  <c r="AN31" i="1"/>
  <c r="AV30" i="1"/>
  <c r="T30" i="1"/>
  <c r="X29" i="1"/>
  <c r="AF29" i="1"/>
  <c r="AR28" i="1"/>
  <c r="AJ28" i="1"/>
  <c r="AN27" i="1"/>
  <c r="T27" i="1"/>
  <c r="AN26" i="1"/>
  <c r="P26" i="1"/>
  <c r="BD25" i="1"/>
  <c r="AJ25" i="1"/>
  <c r="AB24" i="1"/>
  <c r="L24" i="1"/>
  <c r="AY23" i="1"/>
  <c r="S23" i="1"/>
  <c r="AI23" i="1"/>
  <c r="K22" i="1"/>
  <c r="AE22" i="1"/>
  <c r="AQ22" i="1"/>
  <c r="AY22" i="1"/>
  <c r="BC21" i="1"/>
  <c r="AQ21" i="1"/>
  <c r="K21" i="1"/>
  <c r="O20" i="1"/>
  <c r="O21" i="1"/>
  <c r="AA20" i="1"/>
  <c r="AY20" i="1"/>
  <c r="BC20" i="1"/>
  <c r="BC19" i="1"/>
  <c r="AE19" i="1"/>
  <c r="AU19" i="1"/>
  <c r="AI19" i="1"/>
  <c r="AA18" i="1"/>
  <c r="AQ18" i="1"/>
  <c r="S18" i="1"/>
  <c r="AU17" i="1"/>
  <c r="AM17" i="1"/>
  <c r="K17" i="1"/>
  <c r="AY16" i="1"/>
  <c r="AM16" i="1"/>
  <c r="BC16" i="1"/>
  <c r="BH130" i="1"/>
  <c r="BH122" i="1"/>
  <c r="BH99" i="1"/>
  <c r="BH100" i="1" s="1"/>
  <c r="BH98" i="1"/>
  <c r="BH90" i="1"/>
  <c r="BH82" i="1"/>
  <c r="AR70" i="1"/>
  <c r="AZ64" i="1"/>
  <c r="BH59" i="1"/>
  <c r="BH60" i="1" s="1"/>
  <c r="BH58" i="1"/>
  <c r="T38" i="1" l="1"/>
  <c r="AD136" i="1"/>
  <c r="AP136" i="1"/>
  <c r="BB136" i="1"/>
  <c r="AL136" i="1"/>
  <c r="AT136" i="1"/>
  <c r="BF136" i="1"/>
  <c r="AX136" i="1"/>
  <c r="AH136" i="1"/>
  <c r="Z136" i="1"/>
  <c r="V136" i="1"/>
  <c r="N136" i="1"/>
  <c r="R136" i="1"/>
  <c r="AR78" i="1"/>
  <c r="AZ72" i="1"/>
  <c r="L73" i="1"/>
  <c r="X76" i="1"/>
  <c r="T79" i="1"/>
  <c r="BA136" i="1"/>
  <c r="BA138" i="1" s="1"/>
  <c r="BA143" i="1" s="1"/>
  <c r="AG136" i="1"/>
  <c r="AG138" i="1" s="1"/>
  <c r="AG143" i="1" s="1"/>
  <c r="BE136" i="1"/>
  <c r="BE138" i="1" s="1"/>
  <c r="BE143" i="1" s="1"/>
  <c r="AZ118" i="1"/>
  <c r="AC136" i="1"/>
  <c r="AC138" i="1" s="1"/>
  <c r="AC143" i="1" s="1"/>
  <c r="AZ113" i="1"/>
  <c r="K136" i="1"/>
  <c r="K138" i="1" s="1"/>
  <c r="K141" i="1" s="1"/>
  <c r="W136" i="1"/>
  <c r="W138" i="1" s="1"/>
  <c r="W141" i="1" s="1"/>
  <c r="AJ77" i="1"/>
  <c r="AB112" i="1"/>
  <c r="AU136" i="1"/>
  <c r="AU138" i="1" s="1"/>
  <c r="AU141" i="1" s="1"/>
  <c r="AO136" i="1"/>
  <c r="AO138" i="1" s="1"/>
  <c r="AO143" i="1" s="1"/>
  <c r="AR74" i="1"/>
  <c r="AB119" i="1"/>
  <c r="M136" i="1"/>
  <c r="M138" i="1" s="1"/>
  <c r="M143" i="1" s="1"/>
  <c r="AS136" i="1"/>
  <c r="AS138" i="1" s="1"/>
  <c r="AS143" i="1" s="1"/>
  <c r="X79" i="1"/>
  <c r="AF117" i="1"/>
  <c r="BD115" i="1"/>
  <c r="AW136" i="1"/>
  <c r="AW138" i="1" s="1"/>
  <c r="AW143" i="1" s="1"/>
  <c r="P75" i="1"/>
  <c r="BD113" i="1"/>
  <c r="AJ36" i="1"/>
  <c r="U136" i="1"/>
  <c r="U138" i="1" s="1"/>
  <c r="U143" i="1" s="1"/>
  <c r="AB74" i="1"/>
  <c r="S136" i="1"/>
  <c r="S138" i="1" s="1"/>
  <c r="S141" i="1" s="1"/>
  <c r="AJ116" i="1"/>
  <c r="AA136" i="1"/>
  <c r="AA138" i="1" s="1"/>
  <c r="AA141" i="1" s="1"/>
  <c r="AN114" i="1"/>
  <c r="AM136" i="1"/>
  <c r="AM138" i="1" s="1"/>
  <c r="AM141" i="1" s="1"/>
  <c r="AI136" i="1"/>
  <c r="AI138" i="1" s="1"/>
  <c r="AI141" i="1" s="1"/>
  <c r="O136" i="1"/>
  <c r="O138" i="1" s="1"/>
  <c r="O141" i="1" s="1"/>
  <c r="AQ136" i="1"/>
  <c r="AQ138" i="1" s="1"/>
  <c r="AQ141" i="1" s="1"/>
  <c r="BC136" i="1"/>
  <c r="BC138" i="1" s="1"/>
  <c r="BC141" i="1" s="1"/>
  <c r="AY136" i="1"/>
  <c r="AY138" i="1" s="1"/>
  <c r="AY141" i="1" s="1"/>
  <c r="AN39" i="1"/>
  <c r="Q136" i="1"/>
  <c r="Q138" i="1" s="1"/>
  <c r="Q143" i="1" s="1"/>
  <c r="P73" i="1"/>
  <c r="AZ77" i="1"/>
  <c r="L116" i="1"/>
  <c r="AV112" i="1"/>
  <c r="P117" i="1"/>
  <c r="AR119" i="1"/>
  <c r="T115" i="1"/>
  <c r="X114" i="1"/>
  <c r="AV118" i="1"/>
  <c r="BD76" i="1"/>
  <c r="AV39" i="1"/>
  <c r="AN35" i="1"/>
  <c r="AF75" i="1"/>
  <c r="AF72" i="1"/>
  <c r="AV38" i="1"/>
  <c r="X37" i="1"/>
  <c r="AR36" i="1"/>
  <c r="T35" i="1"/>
  <c r="AN34" i="1"/>
  <c r="P34" i="1"/>
  <c r="BD33" i="1"/>
  <c r="L32" i="1"/>
  <c r="L78" i="1"/>
  <c r="AF37" i="1"/>
  <c r="AJ33" i="1"/>
  <c r="AB32" i="1"/>
  <c r="N138" i="1" l="1"/>
  <c r="N144" i="1" s="1"/>
  <c r="N151" i="1" s="1"/>
  <c r="K148" i="1"/>
  <c r="AP138" i="1"/>
  <c r="AP144" i="1" s="1"/>
  <c r="AP151" i="1" s="1"/>
  <c r="V138" i="1"/>
  <c r="V144" i="1" s="1"/>
  <c r="V151" i="1" s="1"/>
  <c r="AL138" i="1"/>
  <c r="AL144" i="1" s="1"/>
  <c r="AL151" i="1" s="1"/>
  <c r="AG150" i="1"/>
  <c r="BA150" i="1"/>
  <c r="U150" i="1"/>
  <c r="M150" i="1"/>
  <c r="BE150" i="1"/>
  <c r="AS150" i="1"/>
  <c r="AC150" i="1"/>
  <c r="Q150" i="1"/>
  <c r="AW150" i="1"/>
  <c r="AO150" i="1"/>
  <c r="BB138" i="1"/>
  <c r="BB144" i="1" s="1"/>
  <c r="AT138" i="1"/>
  <c r="AT144" i="1" s="1"/>
  <c r="AH138" i="1"/>
  <c r="AH144" i="1" s="1"/>
  <c r="AX138" i="1"/>
  <c r="AX144" i="1" s="1"/>
  <c r="BF138" i="1"/>
  <c r="BF144" i="1" s="1"/>
  <c r="R138" i="1"/>
  <c r="R144" i="1" s="1"/>
  <c r="AD138" i="1"/>
  <c r="AD144" i="1" s="1"/>
  <c r="Z138" i="1"/>
  <c r="Z144" i="1" s="1"/>
  <c r="AJ136" i="1"/>
  <c r="AJ138" i="1" s="1"/>
  <c r="AJ142" i="1" s="1"/>
  <c r="X136" i="1"/>
  <c r="X138" i="1" s="1"/>
  <c r="X142" i="1" s="1"/>
  <c r="AZ136" i="1"/>
  <c r="AZ138" i="1" s="1"/>
  <c r="AZ142" i="1" s="1"/>
  <c r="BD136" i="1"/>
  <c r="BD138" i="1" s="1"/>
  <c r="BD142" i="1" s="1"/>
  <c r="AB136" i="1"/>
  <c r="AB138" i="1" s="1"/>
  <c r="AB142" i="1" s="1"/>
  <c r="AV136" i="1"/>
  <c r="AV138" i="1" s="1"/>
  <c r="AV142" i="1" s="1"/>
  <c r="L136" i="1"/>
  <c r="L138" i="1" s="1"/>
  <c r="L142" i="1" s="1"/>
  <c r="P136" i="1"/>
  <c r="P138" i="1" s="1"/>
  <c r="P142" i="1" s="1"/>
  <c r="AN136" i="1"/>
  <c r="AN138" i="1" s="1"/>
  <c r="AN142" i="1" s="1"/>
  <c r="T136" i="1"/>
  <c r="T138" i="1" s="1"/>
  <c r="T142" i="1" s="1"/>
  <c r="AR136" i="1"/>
  <c r="AR138" i="1" s="1"/>
  <c r="AR142" i="1" s="1"/>
  <c r="AF136" i="1"/>
  <c r="AF138" i="1" s="1"/>
  <c r="AF142" i="1" s="1"/>
  <c r="BH50" i="1"/>
  <c r="K31" i="3"/>
  <c r="K30" i="3"/>
  <c r="K28" i="3"/>
  <c r="K27" i="3"/>
  <c r="K26" i="3"/>
  <c r="N16" i="3"/>
  <c r="N12" i="3"/>
  <c r="K21" i="3"/>
  <c r="K20" i="3"/>
  <c r="K19" i="3"/>
  <c r="K17" i="3"/>
  <c r="K16" i="3"/>
  <c r="K18" i="3"/>
  <c r="M12" i="3"/>
  <c r="K12" i="3"/>
  <c r="L12" i="3" s="1"/>
  <c r="K33" i="3"/>
  <c r="D33" i="3"/>
  <c r="J31" i="3"/>
  <c r="J30" i="3"/>
  <c r="J29" i="3"/>
  <c r="K29" i="3" s="1"/>
  <c r="M26" i="3" s="1"/>
  <c r="N26" i="3" s="1"/>
  <c r="J28" i="3"/>
  <c r="J27" i="3"/>
  <c r="J26" i="3"/>
  <c r="K23" i="3"/>
  <c r="J23" i="3"/>
  <c r="D23" i="3"/>
  <c r="J21" i="3"/>
  <c r="J20" i="3"/>
  <c r="J19" i="3"/>
  <c r="J18" i="3"/>
  <c r="J17" i="3"/>
  <c r="J16" i="3"/>
  <c r="J12" i="3"/>
  <c r="H12" i="3"/>
  <c r="G12" i="3"/>
  <c r="F12" i="3"/>
  <c r="E12" i="3"/>
  <c r="D12" i="3"/>
  <c r="AK40" i="1"/>
  <c r="AK136" i="1" s="1"/>
  <c r="AK138" i="1" s="1"/>
  <c r="AK143" i="1" s="1"/>
  <c r="Y41" i="1"/>
  <c r="Y136" i="1" s="1"/>
  <c r="Y138" i="1" s="1"/>
  <c r="Y143" i="1" s="1"/>
  <c r="AE17" i="1"/>
  <c r="AE136" i="1" s="1"/>
  <c r="AE138" i="1" s="1"/>
  <c r="AE141" i="1" s="1"/>
  <c r="AU148" i="1" l="1"/>
  <c r="O148" i="1"/>
  <c r="BC148" i="1"/>
  <c r="AI148" i="1"/>
  <c r="W148" i="1"/>
  <c r="AM148" i="1"/>
  <c r="AY148" i="1"/>
  <c r="S148" i="1"/>
  <c r="AQ148" i="1"/>
  <c r="AA148" i="1"/>
  <c r="Y150" i="1"/>
  <c r="AK150" i="1"/>
  <c r="AT151" i="1"/>
  <c r="R151" i="1"/>
  <c r="BF151" i="1"/>
  <c r="BB151" i="1"/>
  <c r="AX151" i="1"/>
  <c r="AH151" i="1"/>
  <c r="AD151" i="1"/>
  <c r="Z151" i="1"/>
  <c r="J33" i="3"/>
  <c r="N14" i="2"/>
  <c r="AE148" i="1" l="1"/>
  <c r="AI157" i="1"/>
  <c r="AE157" i="1"/>
  <c r="W157" i="1"/>
  <c r="BC157" i="1"/>
  <c r="AU157" i="1"/>
  <c r="O157" i="1"/>
  <c r="AM157" i="1"/>
  <c r="AY157" i="1"/>
  <c r="AQ157" i="1"/>
  <c r="S157" i="1"/>
  <c r="AA157" i="1"/>
  <c r="AI158" i="1"/>
  <c r="AQ158" i="1"/>
  <c r="AY158" i="1"/>
  <c r="AU158" i="1"/>
  <c r="AE158" i="1"/>
  <c r="AA158" i="1"/>
  <c r="O158" i="1"/>
  <c r="S158" i="1"/>
  <c r="K158" i="1"/>
  <c r="W158" i="1"/>
  <c r="BC158" i="1"/>
  <c r="AM158" i="1"/>
  <c r="BD149" i="1"/>
  <c r="AZ149" i="1"/>
  <c r="AV149" i="1"/>
  <c r="AR149" i="1"/>
  <c r="AN149" i="1"/>
  <c r="AJ149" i="1"/>
  <c r="AF149" i="1"/>
  <c r="AB149" i="1"/>
  <c r="X149" i="1"/>
  <c r="T149" i="1"/>
  <c r="P149" i="1"/>
  <c r="L14" i="2"/>
  <c r="J14" i="2"/>
  <c r="H14" i="2"/>
  <c r="F14" i="2"/>
  <c r="X13" i="2"/>
  <c r="AA9" i="2"/>
  <c r="AA13" i="2" s="1"/>
  <c r="U9" i="2"/>
  <c r="U13" i="2" s="1"/>
  <c r="R13" i="2"/>
  <c r="BH19" i="1"/>
  <c r="BH20" i="1" s="1"/>
  <c r="BH42" i="1"/>
  <c r="BH18" i="1"/>
  <c r="AM155" i="1" l="1"/>
  <c r="AA155" i="1"/>
  <c r="AU155" i="1"/>
  <c r="O155" i="1"/>
  <c r="S155" i="1"/>
  <c r="AE155" i="1"/>
  <c r="AY155" i="1"/>
  <c r="AI155" i="1"/>
  <c r="AQ155" i="1"/>
  <c r="W155" i="1"/>
  <c r="BC155" i="1"/>
  <c r="AQ164" i="1"/>
  <c r="AR164" i="1" s="1"/>
  <c r="AO164" i="1"/>
  <c r="AN164" i="1"/>
  <c r="G217" i="1" s="1"/>
  <c r="AR169" i="1"/>
  <c r="H215" i="1"/>
  <c r="AO168" i="1"/>
  <c r="AQ166" i="1"/>
  <c r="AR166" i="1" s="1"/>
  <c r="AN168" i="1"/>
  <c r="H214" i="1" s="1"/>
  <c r="AQ168" i="1"/>
  <c r="AR168" i="1" s="1"/>
  <c r="AN166" i="1"/>
  <c r="G215" i="1" s="1"/>
  <c r="AO167" i="1"/>
  <c r="AQ167" i="1"/>
  <c r="AR167" i="1" s="1"/>
  <c r="AN167" i="1"/>
  <c r="G214" i="1" s="1"/>
  <c r="AQ165" i="1"/>
  <c r="AR165" i="1" s="1"/>
  <c r="AN165" i="1"/>
  <c r="G218" i="1" s="1"/>
  <c r="AO165" i="1"/>
  <c r="AO166" i="1"/>
  <c r="W145" i="1"/>
  <c r="W152" i="1" s="1"/>
  <c r="AE145" i="1"/>
  <c r="AE152" i="1" s="1"/>
  <c r="BC145" i="1"/>
  <c r="BC152" i="1" s="1"/>
  <c r="AA145" i="1"/>
  <c r="AA152" i="1" s="1"/>
  <c r="AI145" i="1"/>
  <c r="AI152" i="1" s="1"/>
  <c r="AM145" i="1"/>
  <c r="AM152" i="1" s="1"/>
  <c r="AQ145" i="1"/>
  <c r="AQ152" i="1" s="1"/>
  <c r="O145" i="1"/>
  <c r="O152" i="1" s="1"/>
  <c r="AU145" i="1"/>
  <c r="AU152" i="1" s="1"/>
  <c r="S145" i="1"/>
  <c r="S152" i="1" s="1"/>
  <c r="AY145" i="1"/>
  <c r="AY152" i="1" s="1"/>
  <c r="H216" i="1" l="1"/>
  <c r="H223" i="1" s="1"/>
  <c r="G216" i="1"/>
  <c r="W156" i="1"/>
  <c r="L149" i="1"/>
  <c r="AT214" i="1"/>
  <c r="Z214" i="1"/>
  <c r="BB214" i="1"/>
  <c r="AL214" i="1"/>
  <c r="AX214" i="1"/>
  <c r="R214" i="1"/>
  <c r="AH214" i="1"/>
  <c r="H217" i="1"/>
  <c r="Z217" i="1" s="1"/>
  <c r="N214" i="1"/>
  <c r="AD214" i="1"/>
  <c r="V214" i="1"/>
  <c r="BF214" i="1"/>
  <c r="AP214" i="1"/>
  <c r="Z215" i="1"/>
  <c r="BB215" i="1"/>
  <c r="AL215" i="1"/>
  <c r="R215" i="1"/>
  <c r="AT215" i="1"/>
  <c r="AP215" i="1"/>
  <c r="N215" i="1"/>
  <c r="H218" i="1"/>
  <c r="AX218" i="1" s="1"/>
  <c r="BF215" i="1"/>
  <c r="AD215" i="1"/>
  <c r="AX215" i="1"/>
  <c r="AH215" i="1"/>
  <c r="V215" i="1"/>
  <c r="BC156" i="1"/>
  <c r="AY156" i="1"/>
  <c r="AZ272" i="1" s="1"/>
  <c r="AQ156" i="1"/>
  <c r="AI156" i="1"/>
  <c r="O156" i="1"/>
  <c r="P272" i="1" s="1"/>
  <c r="S156" i="1"/>
  <c r="AA156" i="1"/>
  <c r="AE156" i="1"/>
  <c r="AU156" i="1"/>
  <c r="AM156" i="1"/>
  <c r="K145" i="1"/>
  <c r="K152" i="1" s="1"/>
  <c r="K155" i="1"/>
  <c r="K157" i="1"/>
  <c r="K156" i="1"/>
  <c r="AH216" i="1" l="1"/>
  <c r="AH223" i="1" s="1"/>
  <c r="H220" i="1"/>
  <c r="H227" i="1" s="1"/>
  <c r="BB216" i="1"/>
  <c r="BB223" i="1" s="1"/>
  <c r="AP216" i="1"/>
  <c r="AP223" i="1" s="1"/>
  <c r="AD216" i="1"/>
  <c r="AD223" i="1" s="1"/>
  <c r="Z216" i="1"/>
  <c r="Z223" i="1" s="1"/>
  <c r="N216" i="1"/>
  <c r="N223" i="1" s="1"/>
  <c r="R216" i="1"/>
  <c r="R223" i="1" s="1"/>
  <c r="G223" i="1"/>
  <c r="BF216" i="1"/>
  <c r="BF223" i="1" s="1"/>
  <c r="AL216" i="1"/>
  <c r="AL223" i="1" s="1"/>
  <c r="V216" i="1"/>
  <c r="V223" i="1" s="1"/>
  <c r="AX216" i="1"/>
  <c r="AX223" i="1" s="1"/>
  <c r="AT216" i="1"/>
  <c r="AT223" i="1" s="1"/>
  <c r="G220" i="1"/>
  <c r="G227" i="1" s="1"/>
  <c r="N218" i="1"/>
  <c r="AD217" i="1"/>
  <c r="AF164" i="1"/>
  <c r="AE164" i="1"/>
  <c r="AH164" i="1"/>
  <c r="AI164" i="1" s="1"/>
  <c r="AH218" i="1"/>
  <c r="Y164" i="1"/>
  <c r="Z164" i="1" s="1"/>
  <c r="W164" i="1"/>
  <c r="V164" i="1"/>
  <c r="G189" i="1" s="1"/>
  <c r="V218" i="1"/>
  <c r="P164" i="1"/>
  <c r="Q164" i="1" s="1"/>
  <c r="N164" i="1"/>
  <c r="M164" i="1"/>
  <c r="N217" i="1"/>
  <c r="Z218" i="1"/>
  <c r="R217" i="1"/>
  <c r="AL218" i="1"/>
  <c r="G219" i="1"/>
  <c r="H224" i="1"/>
  <c r="BB217" i="1"/>
  <c r="AT218" i="1"/>
  <c r="AX217" i="1"/>
  <c r="R218" i="1"/>
  <c r="AT217" i="1"/>
  <c r="V217" i="1"/>
  <c r="BF218" i="1"/>
  <c r="AH217" i="1"/>
  <c r="H225" i="1"/>
  <c r="H219" i="1"/>
  <c r="H226" i="1" s="1"/>
  <c r="AL217" i="1"/>
  <c r="BB218" i="1"/>
  <c r="AD218" i="1"/>
  <c r="BF217" i="1"/>
  <c r="AP217" i="1"/>
  <c r="AP218" i="1"/>
  <c r="P167" i="1"/>
  <c r="Q167" i="1" s="1"/>
  <c r="P166" i="1"/>
  <c r="Q166" i="1" s="1"/>
  <c r="P168" i="1"/>
  <c r="Y167" i="1"/>
  <c r="Z167" i="1" s="1"/>
  <c r="W166" i="1"/>
  <c r="Y166" i="1"/>
  <c r="Z166" i="1" s="1"/>
  <c r="W165" i="1"/>
  <c r="V167" i="1"/>
  <c r="G186" i="1" s="1"/>
  <c r="Y165" i="1"/>
  <c r="Z165" i="1" s="1"/>
  <c r="V169" i="1"/>
  <c r="H187" i="1" s="1"/>
  <c r="W168" i="1"/>
  <c r="V168" i="1"/>
  <c r="H186" i="1" s="1"/>
  <c r="W169" i="1"/>
  <c r="V166" i="1"/>
  <c r="G187" i="1" s="1"/>
  <c r="Y169" i="1"/>
  <c r="Z169" i="1" s="1"/>
  <c r="Y168" i="1"/>
  <c r="Z168" i="1" s="1"/>
  <c r="W167" i="1"/>
  <c r="AF168" i="1"/>
  <c r="AE168" i="1"/>
  <c r="AF167" i="1"/>
  <c r="AH169" i="1"/>
  <c r="AI169" i="1" s="1"/>
  <c r="AH168" i="1"/>
  <c r="AI168" i="1" s="1"/>
  <c r="AH167" i="1"/>
  <c r="AI167" i="1" s="1"/>
  <c r="AH166" i="1"/>
  <c r="AI166" i="1" s="1"/>
  <c r="AH165" i="1"/>
  <c r="AI165" i="1" s="1"/>
  <c r="AE169" i="1"/>
  <c r="AE167" i="1"/>
  <c r="AF166" i="1"/>
  <c r="AF165" i="1"/>
  <c r="AE165" i="1"/>
  <c r="AE166" i="1"/>
  <c r="G201" i="1" s="1"/>
  <c r="AF169" i="1"/>
  <c r="V165" i="1"/>
  <c r="G190" i="1" s="1"/>
  <c r="N168" i="1"/>
  <c r="N167" i="1"/>
  <c r="N165" i="1"/>
  <c r="N166" i="1"/>
  <c r="M168" i="1"/>
  <c r="M167" i="1"/>
  <c r="M166" i="1"/>
  <c r="M165" i="1"/>
  <c r="P165" i="1"/>
  <c r="Q165" i="1" s="1"/>
  <c r="AU159" i="1"/>
  <c r="AQ159" i="1"/>
  <c r="AA159" i="1"/>
  <c r="O159" i="1"/>
  <c r="W159" i="1"/>
  <c r="BC159" i="1"/>
  <c r="AM159" i="1"/>
  <c r="AY159" i="1"/>
  <c r="AI159" i="1"/>
  <c r="AE159" i="1"/>
  <c r="S159" i="1"/>
  <c r="K159" i="1"/>
  <c r="R220" i="1" l="1"/>
  <c r="R227" i="1" s="1"/>
  <c r="V220" i="1"/>
  <c r="V227" i="1" s="1"/>
  <c r="AH220" i="1"/>
  <c r="AH227" i="1" s="1"/>
  <c r="AD220" i="1"/>
  <c r="AD227" i="1" s="1"/>
  <c r="AT220" i="1"/>
  <c r="AT227" i="1" s="1"/>
  <c r="AL220" i="1"/>
  <c r="AL227" i="1" s="1"/>
  <c r="AX220" i="1"/>
  <c r="AX227" i="1" s="1"/>
  <c r="AP220" i="1"/>
  <c r="AP227" i="1" s="1"/>
  <c r="BB220" i="1"/>
  <c r="BB227" i="1" s="1"/>
  <c r="N220" i="1"/>
  <c r="N227" i="1" s="1"/>
  <c r="BF220" i="1"/>
  <c r="BF227" i="1" s="1"/>
  <c r="Z220" i="1"/>
  <c r="Z227" i="1" s="1"/>
  <c r="G226" i="1"/>
  <c r="R219" i="1"/>
  <c r="R226" i="1" s="1"/>
  <c r="AH219" i="1"/>
  <c r="AH226" i="1" s="1"/>
  <c r="Z219" i="1"/>
  <c r="Z226" i="1" s="1"/>
  <c r="AP219" i="1"/>
  <c r="AP226" i="1" s="1"/>
  <c r="N219" i="1"/>
  <c r="N226" i="1" s="1"/>
  <c r="BF219" i="1"/>
  <c r="BF226" i="1" s="1"/>
  <c r="AD219" i="1"/>
  <c r="AD226" i="1" s="1"/>
  <c r="V219" i="1"/>
  <c r="V226" i="1" s="1"/>
  <c r="AT219" i="1"/>
  <c r="AT226" i="1" s="1"/>
  <c r="BB219" i="1"/>
  <c r="BB226" i="1" s="1"/>
  <c r="AL219" i="1"/>
  <c r="AL226" i="1" s="1"/>
  <c r="AX219" i="1"/>
  <c r="AX226" i="1" s="1"/>
  <c r="G203" i="1"/>
  <c r="G210" i="1" s="1"/>
  <c r="H201" i="1"/>
  <c r="H222" i="1"/>
  <c r="G222" i="1"/>
  <c r="G200" i="1"/>
  <c r="G207" i="1" s="1"/>
  <c r="H200" i="1"/>
  <c r="H207" i="1" s="1"/>
  <c r="H221" i="1"/>
  <c r="G204" i="1"/>
  <c r="G211" i="1" s="1"/>
  <c r="Q168" i="1"/>
  <c r="G208" i="1"/>
  <c r="H181" i="1"/>
  <c r="H184" i="1"/>
  <c r="H179" i="1"/>
  <c r="H176" i="1"/>
  <c r="G181" i="1"/>
  <c r="G184" i="1"/>
  <c r="G183" i="1"/>
  <c r="G182" i="1"/>
  <c r="G185" i="1"/>
  <c r="H178" i="1"/>
  <c r="H177" i="1"/>
  <c r="H183" i="1"/>
  <c r="H182" i="1"/>
  <c r="H180" i="1"/>
  <c r="H185" i="1"/>
  <c r="G178" i="1"/>
  <c r="G176" i="1"/>
  <c r="G177" i="1"/>
  <c r="G179" i="1"/>
  <c r="G180" i="1"/>
  <c r="AA179" i="1" l="1"/>
  <c r="AA184" i="1" s="1"/>
  <c r="BE201" i="1"/>
  <c r="H204" i="1"/>
  <c r="AA177" i="1"/>
  <c r="AA182" i="1" s="1"/>
  <c r="AA176" i="1"/>
  <c r="AA181" i="1" s="1"/>
  <c r="AA178" i="1"/>
  <c r="AA183" i="1" s="1"/>
  <c r="H203" i="1"/>
  <c r="AW203" i="1" s="1"/>
  <c r="AW201" i="1"/>
  <c r="G202" i="1"/>
  <c r="G209" i="1" s="1"/>
  <c r="N233" i="1"/>
  <c r="N274" i="1" s="1"/>
  <c r="Y201" i="1"/>
  <c r="AG200" i="1"/>
  <c r="AX233" i="1"/>
  <c r="AX274" i="1" s="1"/>
  <c r="AP233" i="1"/>
  <c r="AP274" i="1" s="1"/>
  <c r="BF233" i="1"/>
  <c r="BF274" i="1" s="1"/>
  <c r="AL233" i="1"/>
  <c r="AL274" i="1" s="1"/>
  <c r="Z233" i="1"/>
  <c r="Z274" i="1" s="1"/>
  <c r="BB233" i="1"/>
  <c r="BB274" i="1" s="1"/>
  <c r="AH233" i="1"/>
  <c r="AH274" i="1" s="1"/>
  <c r="AD233" i="1"/>
  <c r="AD274" i="1" s="1"/>
  <c r="AT233" i="1"/>
  <c r="AT274" i="1" s="1"/>
  <c r="R233" i="1"/>
  <c r="R274" i="1" s="1"/>
  <c r="V233" i="1"/>
  <c r="V274" i="1" s="1"/>
  <c r="U201" i="1"/>
  <c r="M201" i="1"/>
  <c r="AC201" i="1"/>
  <c r="H202" i="1"/>
  <c r="H209" i="1" s="1"/>
  <c r="BA201" i="1"/>
  <c r="AK201" i="1"/>
  <c r="Q201" i="1"/>
  <c r="AG201" i="1"/>
  <c r="H208" i="1"/>
  <c r="AS201" i="1"/>
  <c r="AO201" i="1"/>
  <c r="AW200" i="1"/>
  <c r="Y200" i="1"/>
  <c r="AC200" i="1"/>
  <c r="BA200" i="1"/>
  <c r="AO200" i="1"/>
  <c r="AK200" i="1"/>
  <c r="U200" i="1"/>
  <c r="BE200" i="1"/>
  <c r="G225" i="1"/>
  <c r="M200" i="1"/>
  <c r="AS200" i="1"/>
  <c r="G221" i="1"/>
  <c r="G224" i="1"/>
  <c r="Q200" i="1"/>
  <c r="H193" i="1"/>
  <c r="G188" i="1"/>
  <c r="G195" i="1" s="1"/>
  <c r="H188" i="1"/>
  <c r="G194" i="1"/>
  <c r="G197" i="1"/>
  <c r="G206" i="1"/>
  <c r="G196" i="1"/>
  <c r="H190" i="1"/>
  <c r="AV190" i="1" s="1"/>
  <c r="H194" i="1"/>
  <c r="AF186" i="1"/>
  <c r="X186" i="1"/>
  <c r="AJ186" i="1"/>
  <c r="BD186" i="1"/>
  <c r="AV186" i="1"/>
  <c r="L186" i="1"/>
  <c r="H189" i="1"/>
  <c r="AN189" i="1" s="1"/>
  <c r="G193" i="1"/>
  <c r="AZ186" i="1"/>
  <c r="AB186" i="1"/>
  <c r="AR186" i="1"/>
  <c r="T186" i="1"/>
  <c r="AN186" i="1"/>
  <c r="P186" i="1"/>
  <c r="AV187" i="1"/>
  <c r="AF187" i="1"/>
  <c r="P187" i="1"/>
  <c r="AB187" i="1"/>
  <c r="L187" i="1"/>
  <c r="AZ187" i="1"/>
  <c r="AJ187" i="1"/>
  <c r="T187" i="1"/>
  <c r="BD187" i="1"/>
  <c r="AN187" i="1"/>
  <c r="X187" i="1"/>
  <c r="AR187" i="1"/>
  <c r="AM179" i="1"/>
  <c r="AM184" i="1" s="1"/>
  <c r="AE179" i="1"/>
  <c r="AE184" i="1" s="1"/>
  <c r="AY179" i="1"/>
  <c r="AY184" i="1" s="1"/>
  <c r="S179" i="1"/>
  <c r="S184" i="1" s="1"/>
  <c r="AQ179" i="1"/>
  <c r="AQ184" i="1" s="1"/>
  <c r="K179" i="1"/>
  <c r="K184" i="1" s="1"/>
  <c r="BC179" i="1"/>
  <c r="BC184" i="1" s="1"/>
  <c r="W179" i="1"/>
  <c r="W184" i="1" s="1"/>
  <c r="AI179" i="1"/>
  <c r="AI184" i="1" s="1"/>
  <c r="AU179" i="1"/>
  <c r="AU184" i="1" s="1"/>
  <c r="O179" i="1"/>
  <c r="O184" i="1" s="1"/>
  <c r="AU178" i="1"/>
  <c r="AU183" i="1" s="1"/>
  <c r="O178" i="1"/>
  <c r="O183" i="1" s="1"/>
  <c r="AM178" i="1"/>
  <c r="AM183" i="1" s="1"/>
  <c r="AY178" i="1"/>
  <c r="AY183" i="1" s="1"/>
  <c r="S178" i="1"/>
  <c r="S183" i="1" s="1"/>
  <c r="AE178" i="1"/>
  <c r="AE183" i="1" s="1"/>
  <c r="AQ178" i="1"/>
  <c r="AQ183" i="1" s="1"/>
  <c r="K178" i="1"/>
  <c r="K183" i="1" s="1"/>
  <c r="BC178" i="1"/>
  <c r="BC183" i="1" s="1"/>
  <c r="W178" i="1"/>
  <c r="W183" i="1" s="1"/>
  <c r="AI178" i="1"/>
  <c r="AI183" i="1" s="1"/>
  <c r="AY180" i="1"/>
  <c r="AY185" i="1" s="1"/>
  <c r="S180" i="1"/>
  <c r="S185" i="1" s="1"/>
  <c r="K180" i="1"/>
  <c r="K185" i="1" s="1"/>
  <c r="AE180" i="1"/>
  <c r="AE185" i="1" s="1"/>
  <c r="AQ180" i="1"/>
  <c r="AQ185" i="1" s="1"/>
  <c r="BC180" i="1"/>
  <c r="BC185" i="1" s="1"/>
  <c r="W180" i="1"/>
  <c r="W185" i="1" s="1"/>
  <c r="AI180" i="1"/>
  <c r="AI185" i="1" s="1"/>
  <c r="AM180" i="1"/>
  <c r="AM185" i="1" s="1"/>
  <c r="AU180" i="1"/>
  <c r="AU185" i="1" s="1"/>
  <c r="O180" i="1"/>
  <c r="O185" i="1" s="1"/>
  <c r="AA180" i="1"/>
  <c r="AA185" i="1" s="1"/>
  <c r="AI177" i="1"/>
  <c r="AI182" i="1" s="1"/>
  <c r="AU177" i="1"/>
  <c r="AU182" i="1" s="1"/>
  <c r="O177" i="1"/>
  <c r="O182" i="1" s="1"/>
  <c r="AM177" i="1"/>
  <c r="AM182" i="1" s="1"/>
  <c r="AY177" i="1"/>
  <c r="AY182" i="1" s="1"/>
  <c r="S177" i="1"/>
  <c r="S182" i="1" s="1"/>
  <c r="AE177" i="1"/>
  <c r="AE182" i="1" s="1"/>
  <c r="AQ177" i="1"/>
  <c r="AQ182" i="1" s="1"/>
  <c r="K177" i="1"/>
  <c r="K182" i="1" s="1"/>
  <c r="BC177" i="1"/>
  <c r="BC182" i="1" s="1"/>
  <c r="W177" i="1"/>
  <c r="W182" i="1" s="1"/>
  <c r="AI176" i="1"/>
  <c r="AI181" i="1" s="1"/>
  <c r="BC176" i="1"/>
  <c r="BC181" i="1" s="1"/>
  <c r="AU176" i="1"/>
  <c r="AU181" i="1" s="1"/>
  <c r="O176" i="1"/>
  <c r="O181" i="1" s="1"/>
  <c r="AM176" i="1"/>
  <c r="AM181" i="1" s="1"/>
  <c r="AY176" i="1"/>
  <c r="AY181" i="1" s="1"/>
  <c r="S176" i="1"/>
  <c r="S181" i="1" s="1"/>
  <c r="AE176" i="1"/>
  <c r="AE181" i="1" s="1"/>
  <c r="AQ176" i="1"/>
  <c r="AQ181" i="1" s="1"/>
  <c r="K176" i="1"/>
  <c r="K181" i="1" s="1"/>
  <c r="W176" i="1"/>
  <c r="W181" i="1" s="1"/>
  <c r="Y204" i="1" l="1"/>
  <c r="H205" i="1"/>
  <c r="H212" i="1" s="1"/>
  <c r="AC204" i="1"/>
  <c r="H206" i="1"/>
  <c r="AC206" i="1" s="1"/>
  <c r="AC213" i="1" s="1"/>
  <c r="AW204" i="1"/>
  <c r="AO204" i="1"/>
  <c r="AK204" i="1"/>
  <c r="AG204" i="1"/>
  <c r="BE204" i="1"/>
  <c r="AS204" i="1"/>
  <c r="M204" i="1"/>
  <c r="Q204" i="1"/>
  <c r="U204" i="1"/>
  <c r="H211" i="1"/>
  <c r="BA204" i="1"/>
  <c r="M203" i="1"/>
  <c r="H210" i="1"/>
  <c r="G205" i="1"/>
  <c r="AO203" i="1"/>
  <c r="U203" i="1"/>
  <c r="Q203" i="1"/>
  <c r="AS203" i="1"/>
  <c r="AG203" i="1"/>
  <c r="AC203" i="1"/>
  <c r="Y203" i="1"/>
  <c r="AK203" i="1"/>
  <c r="BA203" i="1"/>
  <c r="BE203" i="1"/>
  <c r="BE202" i="1"/>
  <c r="BE209" i="1" s="1"/>
  <c r="AL281" i="1"/>
  <c r="AI288" i="1"/>
  <c r="BF281" i="1"/>
  <c r="BC288" i="1"/>
  <c r="AU288" i="1"/>
  <c r="AX281" i="1"/>
  <c r="AD281" i="1"/>
  <c r="AA288" i="1"/>
  <c r="O288" i="1"/>
  <c r="R281" i="1"/>
  <c r="AH281" i="1"/>
  <c r="AE288" i="1"/>
  <c r="W288" i="1"/>
  <c r="Z281" i="1"/>
  <c r="S288" i="1"/>
  <c r="V281" i="1"/>
  <c r="AP281" i="1"/>
  <c r="AM288" i="1"/>
  <c r="AT281" i="1"/>
  <c r="AQ288" i="1"/>
  <c r="AY288" i="1"/>
  <c r="BB281" i="1"/>
  <c r="N281" i="1"/>
  <c r="K288" i="1"/>
  <c r="AI240" i="1"/>
  <c r="S240" i="1"/>
  <c r="AQ240" i="1"/>
  <c r="BC240" i="1"/>
  <c r="AM240" i="1"/>
  <c r="AE240" i="1"/>
  <c r="AU240" i="1"/>
  <c r="AY240" i="1"/>
  <c r="W240" i="1"/>
  <c r="AA240" i="1"/>
  <c r="O240" i="1"/>
  <c r="K240" i="1"/>
  <c r="AK202" i="1"/>
  <c r="AK209" i="1" s="1"/>
  <c r="BA202" i="1"/>
  <c r="BA209" i="1" s="1"/>
  <c r="AO202" i="1"/>
  <c r="AO209" i="1" s="1"/>
  <c r="AW202" i="1"/>
  <c r="AW209" i="1" s="1"/>
  <c r="AC202" i="1"/>
  <c r="AC209" i="1" s="1"/>
  <c r="AG202" i="1"/>
  <c r="AG209" i="1" s="1"/>
  <c r="AS202" i="1"/>
  <c r="AS209" i="1" s="1"/>
  <c r="U202" i="1"/>
  <c r="U209" i="1" s="1"/>
  <c r="Y202" i="1"/>
  <c r="Y209" i="1" s="1"/>
  <c r="M202" i="1"/>
  <c r="M209" i="1" s="1"/>
  <c r="Q202" i="1"/>
  <c r="Q209" i="1" s="1"/>
  <c r="I193" i="1"/>
  <c r="J193" i="1"/>
  <c r="J194" i="1"/>
  <c r="I194" i="1"/>
  <c r="G192" i="1"/>
  <c r="G199" i="1" s="1"/>
  <c r="H191" i="1"/>
  <c r="H198" i="1" s="1"/>
  <c r="AB189" i="1"/>
  <c r="AF190" i="1"/>
  <c r="T189" i="1"/>
  <c r="AB190" i="1"/>
  <c r="AR190" i="1"/>
  <c r="P189" i="1"/>
  <c r="X190" i="1"/>
  <c r="AF189" i="1"/>
  <c r="P190" i="1"/>
  <c r="G191" i="1"/>
  <c r="H196" i="1"/>
  <c r="AR189" i="1"/>
  <c r="T190" i="1"/>
  <c r="BD190" i="1"/>
  <c r="H192" i="1"/>
  <c r="H199" i="1" s="1"/>
  <c r="H197" i="1"/>
  <c r="X189" i="1"/>
  <c r="AN190" i="1"/>
  <c r="AJ189" i="1"/>
  <c r="AZ189" i="1"/>
  <c r="AZ190" i="1"/>
  <c r="BD189" i="1"/>
  <c r="L189" i="1"/>
  <c r="G213" i="1"/>
  <c r="L190" i="1"/>
  <c r="AV189" i="1"/>
  <c r="AJ190" i="1"/>
  <c r="AY230" i="1"/>
  <c r="AY271" i="1" s="1"/>
  <c r="H195" i="1"/>
  <c r="BD188" i="1"/>
  <c r="AB188" i="1"/>
  <c r="AB195" i="1" s="1"/>
  <c r="AR188" i="1"/>
  <c r="AV188" i="1"/>
  <c r="T188" i="1"/>
  <c r="AZ188" i="1"/>
  <c r="AZ195" i="1" s="1"/>
  <c r="AJ188" i="1"/>
  <c r="P188" i="1"/>
  <c r="P195" i="1" s="1"/>
  <c r="AF188" i="1"/>
  <c r="AF195" i="1" s="1"/>
  <c r="AN188" i="1"/>
  <c r="AN195" i="1" s="1"/>
  <c r="X188" i="1"/>
  <c r="L188" i="1"/>
  <c r="L195" i="1" s="1"/>
  <c r="S230" i="1"/>
  <c r="S271" i="1" s="1"/>
  <c r="AU230" i="1"/>
  <c r="AU271" i="1" s="1"/>
  <c r="BC230" i="1"/>
  <c r="BC271" i="1" s="1"/>
  <c r="AA230" i="1"/>
  <c r="AA271" i="1" s="1"/>
  <c r="W230" i="1"/>
  <c r="W271" i="1" s="1"/>
  <c r="K230" i="1"/>
  <c r="K271" i="1" s="1"/>
  <c r="AQ230" i="1"/>
  <c r="AQ271" i="1" s="1"/>
  <c r="O230" i="1"/>
  <c r="O271" i="1" s="1"/>
  <c r="AE230" i="1"/>
  <c r="AE271" i="1" s="1"/>
  <c r="AM230" i="1"/>
  <c r="AM271" i="1" s="1"/>
  <c r="AI230" i="1"/>
  <c r="AI271" i="1" s="1"/>
  <c r="M205" i="1" l="1"/>
  <c r="M212" i="1" s="1"/>
  <c r="T195" i="1"/>
  <c r="X195" i="1"/>
  <c r="BD195" i="1"/>
  <c r="AJ195" i="1"/>
  <c r="AV195" i="1"/>
  <c r="AR195" i="1"/>
  <c r="Q206" i="1"/>
  <c r="Q213" i="1" s="1"/>
  <c r="AO206" i="1"/>
  <c r="AO213" i="1" s="1"/>
  <c r="Y206" i="1"/>
  <c r="Y213" i="1" s="1"/>
  <c r="BE206" i="1"/>
  <c r="BE213" i="1" s="1"/>
  <c r="M206" i="1"/>
  <c r="M213" i="1" s="1"/>
  <c r="AG206" i="1"/>
  <c r="AG213" i="1" s="1"/>
  <c r="AW206" i="1"/>
  <c r="AW213" i="1" s="1"/>
  <c r="AK206" i="1"/>
  <c r="AK213" i="1" s="1"/>
  <c r="U206" i="1"/>
  <c r="U213" i="1" s="1"/>
  <c r="AS206" i="1"/>
  <c r="AS213" i="1" s="1"/>
  <c r="H213" i="1"/>
  <c r="BA206" i="1"/>
  <c r="BA213" i="1" s="1"/>
  <c r="AG205" i="1"/>
  <c r="AG212" i="1" s="1"/>
  <c r="AS205" i="1"/>
  <c r="AS212" i="1" s="1"/>
  <c r="BA205" i="1"/>
  <c r="BA212" i="1" s="1"/>
  <c r="AO205" i="1"/>
  <c r="AO212" i="1" s="1"/>
  <c r="G212" i="1"/>
  <c r="AC205" i="1"/>
  <c r="AC212" i="1" s="1"/>
  <c r="AK205" i="1"/>
  <c r="AK212" i="1" s="1"/>
  <c r="Y205" i="1"/>
  <c r="Y212" i="1" s="1"/>
  <c r="U205" i="1"/>
  <c r="U212" i="1" s="1"/>
  <c r="AW205" i="1"/>
  <c r="AW212" i="1" s="1"/>
  <c r="BE205" i="1"/>
  <c r="BE212" i="1" s="1"/>
  <c r="Q205" i="1"/>
  <c r="Q212" i="1" s="1"/>
  <c r="AN248" i="1"/>
  <c r="S278" i="1"/>
  <c r="O278" i="1"/>
  <c r="AQ278" i="1"/>
  <c r="W278" i="1"/>
  <c r="AN247" i="1"/>
  <c r="BA301" i="1"/>
  <c r="BB301" i="1" s="1"/>
  <c r="AW305" i="1"/>
  <c r="AW297" i="1"/>
  <c r="AV302" i="1"/>
  <c r="AV294" i="1"/>
  <c r="BA300" i="1"/>
  <c r="BB300" i="1" s="1"/>
  <c r="AW304" i="1"/>
  <c r="AW296" i="1"/>
  <c r="AV301" i="1"/>
  <c r="BA295" i="1"/>
  <c r="BB295" i="1" s="1"/>
  <c r="AV296" i="1"/>
  <c r="AW298" i="1"/>
  <c r="AV295" i="1"/>
  <c r="BA299" i="1"/>
  <c r="BB299" i="1" s="1"/>
  <c r="AW303" i="1"/>
  <c r="AW295" i="1"/>
  <c r="AV300" i="1"/>
  <c r="BA298" i="1"/>
  <c r="BB298" i="1" s="1"/>
  <c r="AW302" i="1"/>
  <c r="AW294" i="1"/>
  <c r="AV299" i="1"/>
  <c r="BA304" i="1"/>
  <c r="BB304" i="1" s="1"/>
  <c r="BA296" i="1"/>
  <c r="BB296" i="1" s="1"/>
  <c r="AV305" i="1"/>
  <c r="AV297" i="1"/>
  <c r="BA303" i="1"/>
  <c r="BB303" i="1" s="1"/>
  <c r="AV304" i="1"/>
  <c r="BA302" i="1"/>
  <c r="BB302" i="1" s="1"/>
  <c r="AV303" i="1"/>
  <c r="BA305" i="1"/>
  <c r="BB305" i="1" s="1"/>
  <c r="BA297" i="1"/>
  <c r="BB297" i="1" s="1"/>
  <c r="AW301" i="1"/>
  <c r="AV298" i="1"/>
  <c r="AW300" i="1"/>
  <c r="AW299" i="1"/>
  <c r="BA294" i="1"/>
  <c r="BB294" i="1" s="1"/>
  <c r="AJ248" i="1"/>
  <c r="AK247" i="1"/>
  <c r="AK248" i="1"/>
  <c r="AJ249" i="1"/>
  <c r="AK246" i="1"/>
  <c r="AK250" i="1"/>
  <c r="AN250" i="1"/>
  <c r="AJ250" i="1"/>
  <c r="AJ246" i="1"/>
  <c r="AK251" i="1"/>
  <c r="AK249" i="1"/>
  <c r="AN249" i="1"/>
  <c r="AJ251" i="1"/>
  <c r="AN246" i="1"/>
  <c r="AN251" i="1"/>
  <c r="AJ247" i="1"/>
  <c r="I197" i="1"/>
  <c r="J197" i="1"/>
  <c r="I196" i="1"/>
  <c r="J196" i="1"/>
  <c r="J195" i="1"/>
  <c r="I195" i="1"/>
  <c r="AB192" i="1"/>
  <c r="AF192" i="1"/>
  <c r="BD192" i="1"/>
  <c r="O237" i="1"/>
  <c r="K237" i="1"/>
  <c r="W237" i="1"/>
  <c r="AA237" i="1"/>
  <c r="AM237" i="1"/>
  <c r="AU237" i="1"/>
  <c r="AQ237" i="1"/>
  <c r="AI237" i="1"/>
  <c r="BC237" i="1"/>
  <c r="AY237" i="1"/>
  <c r="AE237" i="1"/>
  <c r="S237" i="1"/>
  <c r="L192" i="1"/>
  <c r="AZ192" i="1"/>
  <c r="AZ199" i="1" s="1"/>
  <c r="AV192" i="1"/>
  <c r="T192" i="1"/>
  <c r="AR192" i="1"/>
  <c r="AR199" i="1" s="1"/>
  <c r="X192" i="1"/>
  <c r="AN192" i="1"/>
  <c r="AN199" i="1" s="1"/>
  <c r="P192" i="1"/>
  <c r="P199" i="1" s="1"/>
  <c r="AJ192" i="1"/>
  <c r="G198" i="1"/>
  <c r="AB191" i="1"/>
  <c r="AB198" i="1" s="1"/>
  <c r="AJ191" i="1"/>
  <c r="AR191" i="1"/>
  <c r="AR198" i="1" s="1"/>
  <c r="AN191" i="1"/>
  <c r="L191" i="1"/>
  <c r="X191" i="1"/>
  <c r="P191" i="1"/>
  <c r="P198" i="1" s="1"/>
  <c r="T191" i="1"/>
  <c r="AF191" i="1"/>
  <c r="BD191" i="1"/>
  <c r="AV191" i="1"/>
  <c r="AZ191" i="1"/>
  <c r="AZ198" i="1" s="1"/>
  <c r="M232" i="1" l="1"/>
  <c r="M273" i="1" s="1"/>
  <c r="M280" i="1" s="1"/>
  <c r="AF199" i="1"/>
  <c r="T199" i="1"/>
  <c r="T198" i="1"/>
  <c r="X198" i="1"/>
  <c r="X199" i="1"/>
  <c r="AJ199" i="1"/>
  <c r="AJ198" i="1"/>
  <c r="AV198" i="1"/>
  <c r="AV199" i="1"/>
  <c r="L198" i="1"/>
  <c r="BD199" i="1"/>
  <c r="AN198" i="1"/>
  <c r="AF198" i="1"/>
  <c r="AB199" i="1"/>
  <c r="L199" i="1"/>
  <c r="BD198" i="1"/>
  <c r="AG232" i="1"/>
  <c r="AG273" i="1" s="1"/>
  <c r="AG280" i="1" s="1"/>
  <c r="BA232" i="1"/>
  <c r="BA273" i="1" s="1"/>
  <c r="BA280" i="1" s="1"/>
  <c r="AW232" i="1"/>
  <c r="AW273" i="1" s="1"/>
  <c r="AW280" i="1" s="1"/>
  <c r="BE232" i="1"/>
  <c r="BE273" i="1" s="1"/>
  <c r="Q232" i="1"/>
  <c r="Q273" i="1" s="1"/>
  <c r="Q280" i="1" s="1"/>
  <c r="AS232" i="1"/>
  <c r="AS273" i="1" s="1"/>
  <c r="Y232" i="1"/>
  <c r="Y273" i="1" s="1"/>
  <c r="Y280" i="1" s="1"/>
  <c r="U232" i="1"/>
  <c r="U273" i="1" s="1"/>
  <c r="U280" i="1" s="1"/>
  <c r="AO232" i="1"/>
  <c r="AO273" i="1" s="1"/>
  <c r="AO280" i="1" s="1"/>
  <c r="AC232" i="1"/>
  <c r="AC273" i="1" s="1"/>
  <c r="AC280" i="1" s="1"/>
  <c r="AK232" i="1"/>
  <c r="AK273" i="1" s="1"/>
  <c r="AU278" i="1"/>
  <c r="AI278" i="1"/>
  <c r="K278" i="1"/>
  <c r="AY278" i="1"/>
  <c r="AM285" i="1"/>
  <c r="K285" i="1"/>
  <c r="AE285" i="1"/>
  <c r="BC285" i="1"/>
  <c r="AA278" i="1"/>
  <c r="AA285" i="1"/>
  <c r="AU285" i="1"/>
  <c r="AI285" i="1"/>
  <c r="O285" i="1"/>
  <c r="AQ285" i="1"/>
  <c r="S285" i="1"/>
  <c r="W285" i="1"/>
  <c r="AY285" i="1"/>
  <c r="L246" i="1"/>
  <c r="P246" i="1"/>
  <c r="M246" i="1"/>
  <c r="J198" i="1"/>
  <c r="I198" i="1"/>
  <c r="I199" i="1"/>
  <c r="J199" i="1"/>
  <c r="P231" i="1"/>
  <c r="M250" i="1"/>
  <c r="M248" i="1"/>
  <c r="M249" i="1"/>
  <c r="P247" i="1"/>
  <c r="M247" i="1"/>
  <c r="P250" i="1"/>
  <c r="P249" i="1"/>
  <c r="P248" i="1"/>
  <c r="BC278" i="1"/>
  <c r="L250" i="1"/>
  <c r="L249" i="1"/>
  <c r="L248" i="1"/>
  <c r="L247" i="1"/>
  <c r="AE278" i="1"/>
  <c r="AM278" i="1"/>
  <c r="O234" i="1" l="1"/>
  <c r="AR231" i="1"/>
  <c r="AY239" i="1"/>
  <c r="AI239" i="1"/>
  <c r="AM239" i="1"/>
  <c r="O287" i="1"/>
  <c r="AE239" i="1"/>
  <c r="AU239" i="1"/>
  <c r="K287" i="1"/>
  <c r="K239" i="1"/>
  <c r="O239" i="1"/>
  <c r="BC239" i="1"/>
  <c r="W239" i="1"/>
  <c r="S239" i="1"/>
  <c r="AQ239" i="1"/>
  <c r="AA239" i="1"/>
  <c r="AE287" i="1"/>
  <c r="AY287" i="1"/>
  <c r="AI287" i="1"/>
  <c r="AM287" i="1"/>
  <c r="BE280" i="1"/>
  <c r="BC287" i="1"/>
  <c r="W287" i="1"/>
  <c r="AQ287" i="1"/>
  <c r="AA287" i="1"/>
  <c r="S287" i="1"/>
  <c r="AU287" i="1"/>
  <c r="L231" i="1"/>
  <c r="X231" i="1"/>
  <c r="AV231" i="1"/>
  <c r="AJ231" i="1"/>
  <c r="T231" i="1"/>
  <c r="AZ231" i="1"/>
  <c r="AB231" i="1"/>
  <c r="AB272" i="1" s="1"/>
  <c r="AF231" i="1"/>
  <c r="AF272" i="1" s="1"/>
  <c r="AN231" i="1"/>
  <c r="BD231" i="1"/>
  <c r="Q301" i="1"/>
  <c r="R301" i="1" s="1"/>
  <c r="M305" i="1"/>
  <c r="M297" i="1"/>
  <c r="L301" i="1"/>
  <c r="L304" i="1"/>
  <c r="L296" i="1"/>
  <c r="Q300" i="1"/>
  <c r="R300" i="1" s="1"/>
  <c r="M304" i="1"/>
  <c r="M296" i="1"/>
  <c r="L300" i="1"/>
  <c r="Q304" i="1"/>
  <c r="R304" i="1" s="1"/>
  <c r="Q299" i="1"/>
  <c r="R299" i="1" s="1"/>
  <c r="M303" i="1"/>
  <c r="M295" i="1"/>
  <c r="L299" i="1"/>
  <c r="M300" i="1"/>
  <c r="Q298" i="1"/>
  <c r="R298" i="1" s="1"/>
  <c r="M302" i="1"/>
  <c r="M294" i="1"/>
  <c r="L298" i="1"/>
  <c r="Q296" i="1"/>
  <c r="R296" i="1" s="1"/>
  <c r="Q305" i="1"/>
  <c r="R305" i="1" s="1"/>
  <c r="Q297" i="1"/>
  <c r="R297" i="1" s="1"/>
  <c r="M301" i="1"/>
  <c r="L305" i="1"/>
  <c r="L297" i="1"/>
  <c r="Q303" i="1"/>
  <c r="R303" i="1" s="1"/>
  <c r="Q295" i="1"/>
  <c r="R295" i="1" s="1"/>
  <c r="M299" i="1"/>
  <c r="L303" i="1"/>
  <c r="L295" i="1"/>
  <c r="Q302" i="1"/>
  <c r="R302" i="1" s="1"/>
  <c r="Q294" i="1"/>
  <c r="R294" i="1" s="1"/>
  <c r="M298" i="1"/>
  <c r="L302" i="1"/>
  <c r="L294" i="1"/>
  <c r="AS280" i="1"/>
  <c r="AK280" i="1"/>
  <c r="S234" i="1" l="1"/>
  <c r="T272" i="1"/>
  <c r="W234" i="1"/>
  <c r="X272" i="1"/>
  <c r="AM234" i="1"/>
  <c r="AN272" i="1"/>
  <c r="AI234" i="1"/>
  <c r="AJ272" i="1"/>
  <c r="AQ234" i="1"/>
  <c r="AR272" i="1"/>
  <c r="K234" i="1"/>
  <c r="L272" i="1"/>
  <c r="AU234" i="1"/>
  <c r="AV272" i="1"/>
  <c r="BC234" i="1"/>
  <c r="BD272" i="1"/>
  <c r="AC247" i="1"/>
  <c r="AC246" i="1"/>
  <c r="AB251" i="1"/>
  <c r="AF247" i="1"/>
  <c r="AC248" i="1"/>
  <c r="AF246" i="1"/>
  <c r="AB247" i="1"/>
  <c r="AB246" i="1"/>
  <c r="AB248" i="1"/>
  <c r="AC251" i="1"/>
  <c r="AF248" i="1"/>
  <c r="AK294" i="1"/>
  <c r="AC250" i="1"/>
  <c r="AC249" i="1"/>
  <c r="AF249" i="1"/>
  <c r="AB249" i="1"/>
  <c r="AB250" i="1"/>
  <c r="AF250" i="1"/>
  <c r="AF251" i="1"/>
  <c r="AZ279" i="1"/>
  <c r="AY234" i="1"/>
  <c r="AA234" i="1"/>
  <c r="O275" i="1"/>
  <c r="O282" i="1" s="1"/>
  <c r="AF279" i="1"/>
  <c r="AE234" i="1"/>
  <c r="P279" i="1"/>
  <c r="BC238" i="1"/>
  <c r="AM238" i="1"/>
  <c r="AA238" i="1"/>
  <c r="AQ238" i="1"/>
  <c r="AI238" i="1"/>
  <c r="AY238" i="1"/>
  <c r="S238" i="1"/>
  <c r="AU238" i="1"/>
  <c r="W238" i="1"/>
  <c r="K238" i="1"/>
  <c r="AE238" i="1"/>
  <c r="O238" i="1"/>
  <c r="AQ275" i="1" l="1"/>
  <c r="AQ282" i="1" s="1"/>
  <c r="AR279" i="1"/>
  <c r="O241" i="1"/>
  <c r="AQ286" i="1"/>
  <c r="AE241" i="1"/>
  <c r="AM286" i="1"/>
  <c r="AM275" i="1"/>
  <c r="AM282" i="1" s="1"/>
  <c r="X279" i="1"/>
  <c r="W286" i="1"/>
  <c r="W275" i="1"/>
  <c r="W282" i="1" s="1"/>
  <c r="BD279" i="1"/>
  <c r="BC286" i="1"/>
  <c r="BC275" i="1"/>
  <c r="BC282" i="1" s="1"/>
  <c r="AE286" i="1"/>
  <c r="AE275" i="1"/>
  <c r="AE282" i="1" s="1"/>
  <c r="AU286" i="1"/>
  <c r="AU275" i="1"/>
  <c r="AU282" i="1" s="1"/>
  <c r="S286" i="1"/>
  <c r="S275" i="1"/>
  <c r="S282" i="1" s="1"/>
  <c r="AB279" i="1"/>
  <c r="AA286" i="1"/>
  <c r="AA275" i="1"/>
  <c r="AA282" i="1" s="1"/>
  <c r="AY286" i="1"/>
  <c r="AY275" i="1"/>
  <c r="AY282" i="1" s="1"/>
  <c r="L279" i="1"/>
  <c r="K286" i="1"/>
  <c r="Y294" i="1" s="1"/>
  <c r="K275" i="1"/>
  <c r="K282" i="1" s="1"/>
  <c r="AJ279" i="1"/>
  <c r="AI286" i="1"/>
  <c r="AI275" i="1"/>
  <c r="AI282" i="1" s="1"/>
  <c r="O286" i="1"/>
  <c r="X246" i="1"/>
  <c r="U246" i="1"/>
  <c r="T246" i="1"/>
  <c r="K241" i="1"/>
  <c r="AY241" i="1"/>
  <c r="S241" i="1"/>
  <c r="AU241" i="1"/>
  <c r="AM241" i="1"/>
  <c r="AA241" i="1"/>
  <c r="W241" i="1"/>
  <c r="AI241" i="1"/>
  <c r="BC241" i="1"/>
  <c r="AQ241" i="1"/>
  <c r="AV279" i="1"/>
  <c r="T279" i="1"/>
  <c r="AN279" i="1"/>
  <c r="T251" i="1"/>
  <c r="U249" i="1"/>
  <c r="X249" i="1"/>
  <c r="U251" i="1"/>
  <c r="T247" i="1"/>
  <c r="X250" i="1"/>
  <c r="T248" i="1"/>
  <c r="X251" i="1"/>
  <c r="T249" i="1"/>
  <c r="U247" i="1"/>
  <c r="U250" i="1"/>
  <c r="X247" i="1"/>
  <c r="U248" i="1"/>
  <c r="X248" i="1"/>
  <c r="T250" i="1"/>
  <c r="M16" i="3"/>
  <c r="AU289" i="1" l="1"/>
  <c r="O289" i="1"/>
  <c r="AI289" i="1"/>
  <c r="AQ289" i="1"/>
  <c r="AY289" i="1"/>
  <c r="AA289" i="1"/>
  <c r="K289" i="1"/>
  <c r="AE289" i="1"/>
  <c r="AM289" i="1"/>
  <c r="W289" i="1"/>
  <c r="S289" i="1"/>
  <c r="BC289" i="1"/>
  <c r="AC300" i="1"/>
  <c r="AD300" i="1" s="1"/>
  <c r="AC295" i="1"/>
  <c r="AD295" i="1" s="1"/>
  <c r="Y297" i="1"/>
  <c r="X303" i="1"/>
  <c r="AC303" i="1"/>
  <c r="AD303" i="1" s="1"/>
  <c r="X297" i="1"/>
  <c r="Y298" i="1"/>
  <c r="Y299" i="1"/>
  <c r="Y300" i="1"/>
  <c r="X305" i="1"/>
  <c r="AC298" i="1"/>
  <c r="AD298" i="1" s="1"/>
  <c r="Y301" i="1"/>
  <c r="AC297" i="1"/>
  <c r="AD297" i="1" s="1"/>
  <c r="Y302" i="1"/>
  <c r="AC294" i="1"/>
  <c r="AD294" i="1" s="1"/>
  <c r="AC302" i="1"/>
  <c r="AD302" i="1" s="1"/>
  <c r="AC301" i="1"/>
  <c r="AD301" i="1" s="1"/>
  <c r="X302" i="1"/>
  <c r="X301" i="1"/>
  <c r="AC296" i="1"/>
  <c r="AD296" i="1" s="1"/>
  <c r="AC304" i="1"/>
  <c r="AD304" i="1" s="1"/>
  <c r="Y305" i="1"/>
  <c r="Y295" i="1"/>
  <c r="Y303" i="1"/>
  <c r="Y304" i="1"/>
  <c r="Y296" i="1"/>
  <c r="X304" i="1"/>
  <c r="X300" i="1"/>
  <c r="X299" i="1"/>
  <c r="AC305" i="1"/>
  <c r="AD305" i="1" s="1"/>
  <c r="X298" i="1"/>
  <c r="AC299" i="1"/>
  <c r="AD299" i="1" s="1"/>
  <c r="X294" i="1"/>
  <c r="X295" i="1"/>
  <c r="X296" i="1"/>
  <c r="AI311" i="1" l="1"/>
  <c r="AJ311" i="1" s="1"/>
  <c r="AK303" i="1"/>
  <c r="AJ298" i="1"/>
  <c r="AJ305" i="1"/>
  <c r="AK299" i="1"/>
  <c r="AJ302" i="1"/>
  <c r="AO300" i="1"/>
  <c r="AP300" i="1" s="1"/>
  <c r="AK295" i="1"/>
  <c r="AJ297" i="1"/>
  <c r="AJ303" i="1"/>
  <c r="AJ294" i="1"/>
  <c r="AK297" i="1"/>
  <c r="AK300" i="1"/>
  <c r="AO305" i="1"/>
  <c r="AP305" i="1" s="1"/>
  <c r="AO302" i="1"/>
  <c r="AP302" i="1" s="1"/>
  <c r="AO303" i="1"/>
  <c r="AP303" i="1" s="1"/>
  <c r="AK298" i="1"/>
  <c r="AK304" i="1"/>
  <c r="AJ299" i="1"/>
  <c r="AJ304" i="1"/>
  <c r="AJ295" i="1"/>
  <c r="AJ300" i="1"/>
  <c r="AK302" i="1"/>
  <c r="AO297" i="1"/>
  <c r="AP297" i="1" s="1"/>
  <c r="AO296" i="1"/>
  <c r="AP296" i="1" s="1"/>
  <c r="AO295" i="1"/>
  <c r="AP295" i="1" s="1"/>
  <c r="AO301" i="1"/>
  <c r="AP301" i="1" s="1"/>
  <c r="AK296" i="1"/>
  <c r="AJ296" i="1"/>
  <c r="AO304" i="1"/>
  <c r="AP304" i="1" s="1"/>
  <c r="AK305" i="1"/>
  <c r="AO298" i="1"/>
  <c r="AP298" i="1" s="1"/>
  <c r="AO299" i="1"/>
  <c r="AP299" i="1" s="1"/>
  <c r="AK301" i="1"/>
  <c r="AJ301" i="1"/>
  <c r="AO294" i="1"/>
  <c r="AP294" i="1" s="1"/>
  <c r="AI320" i="1"/>
  <c r="AJ320" i="1" s="1"/>
  <c r="AI318" i="1"/>
  <c r="AJ318" i="1" s="1"/>
  <c r="AE311" i="1"/>
  <c r="AI317" i="1"/>
  <c r="AJ317" i="1" s="1"/>
  <c r="AD319" i="1"/>
  <c r="AD311" i="1"/>
  <c r="AI314" i="1"/>
  <c r="AJ314" i="1" s="1"/>
  <c r="AD313" i="1"/>
  <c r="AD321" i="1"/>
  <c r="AI322" i="1"/>
  <c r="AJ322" i="1" s="1"/>
  <c r="AD316" i="1"/>
  <c r="AE321" i="1"/>
  <c r="AE312" i="1"/>
  <c r="AE313" i="1"/>
  <c r="AE322" i="1"/>
  <c r="AD312" i="1"/>
  <c r="AD314" i="1"/>
  <c r="AD317" i="1"/>
  <c r="AD315" i="1"/>
  <c r="AE320" i="1"/>
  <c r="AE317" i="1"/>
  <c r="AI316" i="1"/>
  <c r="AJ316" i="1" s="1"/>
  <c r="AD320" i="1"/>
  <c r="AD322" i="1"/>
  <c r="AE319" i="1"/>
  <c r="AI313" i="1"/>
  <c r="AJ313" i="1" s="1"/>
  <c r="AE318" i="1"/>
  <c r="AE315" i="1"/>
  <c r="AD318" i="1"/>
  <c r="AE316" i="1"/>
  <c r="AI315" i="1"/>
  <c r="AJ315" i="1" s="1"/>
  <c r="AE314" i="1"/>
  <c r="AI319" i="1"/>
  <c r="AJ319" i="1" s="1"/>
  <c r="AI312" i="1"/>
  <c r="AJ312" i="1" s="1"/>
  <c r="AI321" i="1"/>
  <c r="AJ321" i="1" s="1"/>
</calcChain>
</file>

<file path=xl/sharedStrings.xml><?xml version="1.0" encoding="utf-8"?>
<sst xmlns="http://schemas.openxmlformats.org/spreadsheetml/2006/main" count="1213" uniqueCount="333">
  <si>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</si>
  <si>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</si>
  <si>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</si>
  <si>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</si>
  <si>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</si>
  <si>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</si>
  <si>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</si>
  <si>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</si>
  <si>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</si>
  <si>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</si>
  <si>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</si>
  <si>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</si>
  <si>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 xml:space="preserve"> Calcio-balilla</t>
  </si>
  <si>
    <t xml:space="preserve"> Ping-pong</t>
  </si>
  <si>
    <t xml:space="preserve"> Freccette</t>
  </si>
  <si>
    <t>1° TURNO</t>
  </si>
  <si>
    <t>Calcio-balilla
(doppio)</t>
  </si>
  <si>
    <t>Partita 1</t>
  </si>
  <si>
    <t>Partita 2</t>
  </si>
  <si>
    <t>Partita 3</t>
  </si>
  <si>
    <t>Partita 4</t>
  </si>
  <si>
    <t>Partita 5</t>
  </si>
  <si>
    <t>Partita 6</t>
  </si>
  <si>
    <t>Partita 7</t>
  </si>
  <si>
    <t>Partita 8</t>
  </si>
  <si>
    <t>2° TURNO</t>
  </si>
  <si>
    <t>3° TURNO</t>
  </si>
  <si>
    <t>TOTALE (pesato)</t>
  </si>
  <si>
    <t>Punteggi e classifiche</t>
  </si>
  <si>
    <t>Punteggi e classifiche dei gironi di qualificazione</t>
  </si>
  <si>
    <t>minuti a partita</t>
  </si>
  <si>
    <t>partite a calcio-balilla</t>
  </si>
  <si>
    <t>minuti</t>
  </si>
  <si>
    <t>A freccette si arriva a 220</t>
  </si>
  <si>
    <t>A ping-pong si arriva a 11</t>
  </si>
  <si>
    <t>partite a ping-pong</t>
  </si>
  <si>
    <t>minuti a pallina</t>
  </si>
  <si>
    <t>Se si arriva a 6:</t>
  </si>
  <si>
    <t>5 minuti a partita</t>
  </si>
  <si>
    <t>45 minuti totali</t>
  </si>
  <si>
    <t>Se si arriva a 12</t>
  </si>
  <si>
    <t>4 minuti a partita</t>
  </si>
  <si>
    <t>36 minuti totali</t>
  </si>
  <si>
    <t>Se si arriva a 240:</t>
  </si>
  <si>
    <t>6 minuti a partita</t>
  </si>
  <si>
    <t>55 minuti totali</t>
  </si>
  <si>
    <t>Se si arriva a 180:</t>
  </si>
  <si>
    <t>4,62 minuti</t>
  </si>
  <si>
    <t>41 minuti totali</t>
  </si>
  <si>
    <t>Se si arriva a 5:</t>
  </si>
  <si>
    <t>Se si arriva a 10:</t>
  </si>
  <si>
    <t>3,33 minuti</t>
  </si>
  <si>
    <t>Se si arriva a 150:</t>
  </si>
  <si>
    <t>3,85 minuti a partita</t>
  </si>
  <si>
    <t>34,65 minuti</t>
  </si>
  <si>
    <t>30 minuti</t>
  </si>
  <si>
    <t>5,6 minuti a partita</t>
  </si>
  <si>
    <t>50 minuti totali</t>
  </si>
  <si>
    <t>Se si arriva a 14:</t>
  </si>
  <si>
    <t>4,662 minuti a partita</t>
  </si>
  <si>
    <t>41,958 minuti totali</t>
  </si>
  <si>
    <t>5,39 miinuti a partita</t>
  </si>
  <si>
    <t>48,51 minuti totali</t>
  </si>
  <si>
    <t>Se si arriva a 210:</t>
  </si>
  <si>
    <t>Se si arriva a 7:</t>
  </si>
  <si>
    <t>Se si arriva a 21:</t>
  </si>
  <si>
    <t>6,993 minuti a partita</t>
  </si>
  <si>
    <t>62,937 minuti totali</t>
  </si>
  <si>
    <t>8 minuti a partita</t>
  </si>
  <si>
    <t>72 minuti totali</t>
  </si>
  <si>
    <r>
      <t>Calcio-balilla</t>
    </r>
    <r>
      <rPr>
        <sz val="14"/>
        <color theme="1"/>
        <rFont val="Tahoma"/>
        <family val="2"/>
      </rPr>
      <t xml:space="preserve"> (in doppio)</t>
    </r>
  </si>
  <si>
    <t>Partite</t>
  </si>
  <si>
    <t>Punteggi</t>
  </si>
  <si>
    <t>N° partita</t>
  </si>
  <si>
    <t>Giocatori</t>
  </si>
  <si>
    <t>Risultato</t>
  </si>
  <si>
    <t>Giocat. C1</t>
  </si>
  <si>
    <t>Giocat. C2</t>
  </si>
  <si>
    <t>Giocat. C3</t>
  </si>
  <si>
    <t>Giocat. C4</t>
  </si>
  <si>
    <t>C1 C2 – C3 C4</t>
  </si>
  <si>
    <t>C1 C3 – C2 C4</t>
  </si>
  <si>
    <t>C1 C4 – C2 C3</t>
  </si>
  <si>
    <t>Punteggio finale</t>
  </si>
  <si>
    <t>Classifica finale</t>
  </si>
  <si>
    <t>partite</t>
  </si>
  <si>
    <t>punti</t>
  </si>
  <si>
    <t>minuti totali</t>
  </si>
  <si>
    <r>
      <t xml:space="preserve">Freccette </t>
    </r>
    <r>
      <rPr>
        <sz val="14"/>
        <color theme="1"/>
        <rFont val="Tahoma"/>
        <family val="2"/>
      </rPr>
      <t>(singolare)</t>
    </r>
  </si>
  <si>
    <t>Turno</t>
  </si>
  <si>
    <t>Classifica</t>
  </si>
  <si>
    <t>Semifinale A</t>
  </si>
  <si>
    <t>(due su tre)</t>
  </si>
  <si>
    <t>F1 – F4</t>
  </si>
  <si>
    <t>Semifinale B</t>
  </si>
  <si>
    <t>F2 – F3</t>
  </si>
  <si>
    <t>Finale</t>
  </si>
  <si>
    <t>3° e 4° posto</t>
  </si>
  <si>
    <t>FA2 – FB2</t>
  </si>
  <si>
    <t>Finalissima</t>
  </si>
  <si>
    <t>1° e 2° posto</t>
  </si>
  <si>
    <t>FA1 – FB1</t>
  </si>
  <si>
    <t>Giocatori: C1 = ..., C2 = ..., C3 = ..., C4 = …</t>
  </si>
  <si>
    <t>Orario di fine turno: …</t>
  </si>
  <si>
    <t xml:space="preserve"> – </t>
  </si>
  <si>
    <r>
      <t xml:space="preserve">Vincitore (FA1): </t>
    </r>
    <r>
      <rPr>
        <sz val="11"/>
        <color rgb="FF808080"/>
        <rFont val="Tahoma"/>
        <family val="2"/>
      </rPr>
      <t>…</t>
    </r>
  </si>
  <si>
    <r>
      <t xml:space="preserve">Sconfitto (FA2): </t>
    </r>
    <r>
      <rPr>
        <sz val="11"/>
        <color rgb="FF808080"/>
        <rFont val="Tahoma"/>
        <family val="2"/>
      </rPr>
      <t>…</t>
    </r>
  </si>
  <si>
    <r>
      <t xml:space="preserve">Vincitore (FB1): </t>
    </r>
    <r>
      <rPr>
        <sz val="11"/>
        <color rgb="FF808080"/>
        <rFont val="Tahoma"/>
        <family val="2"/>
      </rPr>
      <t>…</t>
    </r>
  </si>
  <si>
    <r>
      <t xml:space="preserve">Sconfitto (FB2): </t>
    </r>
    <r>
      <rPr>
        <sz val="11"/>
        <color rgb="FF808080"/>
        <rFont val="Tahoma"/>
        <family val="2"/>
      </rPr>
      <t>…</t>
    </r>
  </si>
  <si>
    <r>
      <t xml:space="preserve">3° classificato: </t>
    </r>
    <r>
      <rPr>
        <sz val="11"/>
        <color rgb="FF808080"/>
        <rFont val="Tahoma"/>
        <family val="2"/>
      </rPr>
      <t>…</t>
    </r>
  </si>
  <si>
    <r>
      <t xml:space="preserve">1° classificato: </t>
    </r>
    <r>
      <rPr>
        <sz val="11"/>
        <color rgb="FF808080"/>
        <rFont val="Tahoma"/>
        <family val="2"/>
      </rPr>
      <t>…</t>
    </r>
  </si>
  <si>
    <t>2° classificato: …</t>
  </si>
  <si>
    <t>5,39 minuti a partita</t>
  </si>
  <si>
    <t>da 9 a 14 partite</t>
  </si>
  <si>
    <t>da 48,5 a 75,5 minuti totali</t>
  </si>
  <si>
    <t>da 34,6 a 53,9 minuti totali</t>
  </si>
  <si>
    <t>62 minuti totali di media</t>
  </si>
  <si>
    <t>44,25 minuti totali di media</t>
  </si>
  <si>
    <t>Si finisce alle ore 18.30</t>
  </si>
  <si>
    <t>Si finisce alle 19.15</t>
  </si>
  <si>
    <t>Si finisce alle 19.30</t>
  </si>
  <si>
    <t>P1 – P4</t>
  </si>
  <si>
    <t>P2 – P3</t>
  </si>
  <si>
    <t>PA2 – PB2</t>
  </si>
  <si>
    <t>PA1 – PB1</t>
  </si>
  <si>
    <r>
      <t xml:space="preserve">Ping-pong </t>
    </r>
    <r>
      <rPr>
        <sz val="14"/>
        <color theme="1"/>
        <rFont val="Tahoma"/>
        <family val="2"/>
      </rPr>
      <t>(singolare)</t>
    </r>
  </si>
  <si>
    <t>Giocatori: F1 = ..., F2 = ..., F3 = ..., F4 = …</t>
  </si>
  <si>
    <t>Orario di fine turno: …</t>
  </si>
  <si>
    <t>7 minuti a partita</t>
  </si>
  <si>
    <t>da 9 a 12 partite</t>
  </si>
  <si>
    <t>da 34,6 a 46,2 minuti totali</t>
  </si>
  <si>
    <t>40,4 minuti totali di media</t>
  </si>
  <si>
    <t>Si finisce alle 19.10</t>
  </si>
  <si>
    <t>…</t>
  </si>
  <si>
    <t>(partita secca)</t>
  </si>
  <si>
    <t>da 6 a 8 partite</t>
  </si>
  <si>
    <t>da 32 a 43,12 minuti totali</t>
  </si>
  <si>
    <t>37,6 minuti totali di media</t>
  </si>
  <si>
    <t>Si finisce alle ore 18.24</t>
  </si>
  <si>
    <t>Si finisce alle 19.00</t>
  </si>
  <si>
    <t>4° classificato: …</t>
  </si>
  <si>
    <t>da 42 a 56 minuti totali</t>
  </si>
  <si>
    <t>49 minuti totali di media</t>
  </si>
  <si>
    <t>Si finisce alle 20:00</t>
  </si>
  <si>
    <t>% su totale calcio-balilla</t>
  </si>
  <si>
    <t>% su totale freccette</t>
  </si>
  <si>
    <t>% su totale ping-pong</t>
  </si>
  <si>
    <t>% su TOTALE</t>
  </si>
  <si>
    <t>Punti girone finale</t>
  </si>
  <si>
    <t>TOTALE calcio-balilla</t>
  </si>
  <si>
    <t>TOTALE freccette</t>
  </si>
  <si>
    <t>TOTALE ping-pong</t>
  </si>
  <si>
    <t>Calcio-balilla</t>
  </si>
  <si>
    <t>Freccette</t>
  </si>
  <si>
    <t>Ping-pong</t>
  </si>
  <si>
    <t>TOTALE finale</t>
  </si>
  <si>
    <t>CLASSIFICA FINALE</t>
  </si>
  <si>
    <t>Classifica finale calcio-balilla</t>
  </si>
  <si>
    <t>Classifica finale freccette</t>
  </si>
  <si>
    <t>Classifica finale ping-pong</t>
  </si>
  <si>
    <t>GIRONE DI QUALIFICAZIONE</t>
  </si>
  <si>
    <t>Freccette (pesato)</t>
  </si>
  <si>
    <t>Finale 3°-4°</t>
  </si>
  <si>
    <t>Finale 1°-2°</t>
  </si>
  <si>
    <t>Calcio-balilla (pesato)</t>
  </si>
  <si>
    <t>Ping-pong (pesato)</t>
  </si>
  <si>
    <t>Classifica 1° girone calcio-balilla</t>
  </si>
  <si>
    <t>Classifica 1° girone freccette</t>
  </si>
  <si>
    <t>Classifica 1° girone ping-pong</t>
  </si>
  <si>
    <t>Classifica generale
girone di qualificazione</t>
  </si>
  <si>
    <t>C1 C4 – C3 C5</t>
  </si>
  <si>
    <t>C2 C3 – C4 C5</t>
  </si>
  <si>
    <t>Giocat. C5</t>
  </si>
  <si>
    <t>Quarti Q1</t>
  </si>
  <si>
    <t>Quarti Q2</t>
  </si>
  <si>
    <t>Finale 5°-6°</t>
  </si>
  <si>
    <t>C3 C4</t>
  </si>
  <si>
    <t>C1 C2</t>
  </si>
  <si>
    <t>C1 C3</t>
  </si>
  <si>
    <t>C2 C5</t>
  </si>
  <si>
    <t>C1 C5</t>
  </si>
  <si>
    <t>C2 C4</t>
  </si>
  <si>
    <t>C1 C4</t>
  </si>
  <si>
    <t>C3 C5</t>
  </si>
  <si>
    <t>C2 C3</t>
  </si>
  <si>
    <t>C4 C5</t>
  </si>
  <si>
    <t>F4</t>
  </si>
  <si>
    <t>F5</t>
  </si>
  <si>
    <t>F6</t>
  </si>
  <si>
    <t>QF3</t>
  </si>
  <si>
    <t>QF4</t>
  </si>
  <si>
    <t>F1</t>
  </si>
  <si>
    <t>QF1</t>
  </si>
  <si>
    <t>F2</t>
  </si>
  <si>
    <t>QF2</t>
  </si>
  <si>
    <t>FA2</t>
  </si>
  <si>
    <t>FB2</t>
  </si>
  <si>
    <t>FA1</t>
  </si>
  <si>
    <t>FB1</t>
  </si>
  <si>
    <t>P4</t>
  </si>
  <si>
    <t>P5</t>
  </si>
  <si>
    <t>P3</t>
  </si>
  <si>
    <t>P6</t>
  </si>
  <si>
    <t>QP3</t>
  </si>
  <si>
    <t>QP4</t>
  </si>
  <si>
    <t>P1</t>
  </si>
  <si>
    <t>QP1</t>
  </si>
  <si>
    <t>P2</t>
  </si>
  <si>
    <t>QP2</t>
  </si>
  <si>
    <t>PA2</t>
  </si>
  <si>
    <t>PB2</t>
  </si>
  <si>
    <t>PA1</t>
  </si>
  <si>
    <t>PB1</t>
  </si>
  <si>
    <t>1°</t>
  </si>
  <si>
    <t>2°</t>
  </si>
  <si>
    <t>3°</t>
  </si>
  <si>
    <t>4°</t>
  </si>
  <si>
    <t>5°</t>
  </si>
  <si>
    <t>6°</t>
  </si>
  <si>
    <t>C1</t>
  </si>
  <si>
    <t>C2</t>
  </si>
  <si>
    <t>C3</t>
  </si>
  <si>
    <t>C4</t>
  </si>
  <si>
    <t>C5</t>
  </si>
  <si>
    <t>F3</t>
  </si>
  <si>
    <t>Freccette
(pesato)</t>
  </si>
  <si>
    <t>Ping-pong
(pesato)</t>
  </si>
  <si>
    <t>GIRONE FINALE AD ELIMINAZIONE DIRETTA</t>
  </si>
  <si>
    <t>7°</t>
  </si>
  <si>
    <t>8°</t>
  </si>
  <si>
    <t>9°</t>
  </si>
  <si>
    <t>10°</t>
  </si>
  <si>
    <t>11°</t>
  </si>
  <si>
    <t>12°</t>
  </si>
  <si>
    <t>Classifica finale complessiva</t>
  </si>
  <si>
    <t>CLASSIFICHE FINALI</t>
  </si>
  <si>
    <t>Classifica girone finale calcio-balilla</t>
  </si>
  <si>
    <t>Classifica girone finale freccette</t>
  </si>
  <si>
    <t>Classifica girone finale ping-pong</t>
  </si>
  <si>
    <t>Classifica generale girone finale</t>
  </si>
  <si>
    <t>TOTALE PUNTI FATTI DAGLI AVVERSARI</t>
  </si>
  <si>
    <t>TOTALE PUNTI FATTI (non pesato)</t>
  </si>
  <si>
    <t>Ping-pong
(singolare)</t>
  </si>
  <si>
    <t>Freccette (pesato)
(singolare)</t>
  </si>
  <si>
    <t>Freccette
(singolare)</t>
  </si>
  <si>
    <t>AE</t>
  </si>
  <si>
    <t>CG</t>
  </si>
  <si>
    <t>CE</t>
  </si>
  <si>
    <t>BH</t>
  </si>
  <si>
    <t>KL</t>
  </si>
  <si>
    <t>FJ</t>
  </si>
  <si>
    <t>BE</t>
  </si>
  <si>
    <t>AI</t>
  </si>
  <si>
    <t>AH</t>
  </si>
  <si>
    <t>DF</t>
  </si>
  <si>
    <t>BG</t>
  </si>
  <si>
    <t>HJ</t>
  </si>
  <si>
    <t>FI</t>
  </si>
  <si>
    <t>AL</t>
  </si>
  <si>
    <t>DL</t>
  </si>
  <si>
    <t>HK</t>
  </si>
  <si>
    <t>AF</t>
  </si>
  <si>
    <t>CI</t>
  </si>
  <si>
    <t>DE</t>
  </si>
  <si>
    <t>FL</t>
  </si>
  <si>
    <t>GJ</t>
  </si>
  <si>
    <t>EK</t>
  </si>
  <si>
    <t>BL</t>
  </si>
  <si>
    <t>BI</t>
  </si>
  <si>
    <t>AK</t>
  </si>
  <si>
    <t>DG</t>
  </si>
  <si>
    <t>CK</t>
  </si>
  <si>
    <t>EH</t>
  </si>
  <si>
    <t>HI</t>
  </si>
  <si>
    <t>DK</t>
  </si>
  <si>
    <t>BJ</t>
  </si>
  <si>
    <t>AJ</t>
  </si>
  <si>
    <t>FG</t>
  </si>
  <si>
    <t>EL</t>
  </si>
  <si>
    <t>CF</t>
  </si>
  <si>
    <t>BK</t>
  </si>
  <si>
    <t>HL</t>
  </si>
  <si>
    <t>IL</t>
  </si>
  <si>
    <t>JK</t>
  </si>
  <si>
    <t>BD</t>
  </si>
  <si>
    <t>B1</t>
  </si>
  <si>
    <t>B2</t>
  </si>
  <si>
    <t>B3</t>
  </si>
  <si>
    <t>B4</t>
  </si>
  <si>
    <t>B5</t>
  </si>
  <si>
    <t>B6</t>
  </si>
  <si>
    <t>Con peso freccette (1) (1 * 4 * 210 punti = 840)</t>
  </si>
  <si>
    <t>Con peso ping-pong (15) (15 * 4 * 14 punti = 840)</t>
  </si>
  <si>
    <t>QB3</t>
  </si>
  <si>
    <t>QB4</t>
  </si>
  <si>
    <t>QB1</t>
  </si>
  <si>
    <t>QB2</t>
  </si>
  <si>
    <t>BA2</t>
  </si>
  <si>
    <t>BB2</t>
  </si>
  <si>
    <t>BA1</t>
  </si>
  <si>
    <t>BB1</t>
  </si>
  <si>
    <t>Con peso calcio-balilla (21) (21 * 8 * 5 punti = 840)</t>
  </si>
  <si>
    <t>Gianni</t>
  </si>
  <si>
    <t>Pietro</t>
  </si>
  <si>
    <t>Matheus</t>
  </si>
  <si>
    <t>Alberto</t>
  </si>
  <si>
    <t>Stefano</t>
  </si>
  <si>
    <t>Gianluca</t>
  </si>
  <si>
    <t>Alessandro</t>
  </si>
  <si>
    <t>Emma</t>
  </si>
  <si>
    <t>Massimo</t>
  </si>
  <si>
    <t>NOLImpiadi - 6° edizione - Domenica 19 giugno 2024</t>
  </si>
  <si>
    <t>TOTALE PUNTI (non pesato ma togliendo punti avversari)</t>
  </si>
  <si>
    <t>Totale gol fatti a calcio-balilla</t>
  </si>
  <si>
    <t>Totale punti fatti a freccette</t>
  </si>
  <si>
    <t>Totale punti fatti a ping-pong</t>
  </si>
  <si>
    <t xml:space="preserve"> Air-hockey</t>
  </si>
  <si>
    <t>Air-hockey
(singolare)</t>
  </si>
  <si>
    <t>% su totale Air-hockey</t>
  </si>
  <si>
    <t>Classifica 1° girone Air-hockey</t>
  </si>
  <si>
    <t>Air-hockey</t>
  </si>
  <si>
    <t>Air-hockey
(pesato)</t>
  </si>
  <si>
    <t>Air-hockey (pesato)</t>
  </si>
  <si>
    <t>TOTALE Air-hockey</t>
  </si>
  <si>
    <t>Classifica finale Air-hockey</t>
  </si>
  <si>
    <t>Classifica girone finale air-hockey</t>
  </si>
  <si>
    <t>Totale punti fatti a air-hockey</t>
  </si>
  <si>
    <t>Claudia</t>
  </si>
  <si>
    <t>Gustavo</t>
  </si>
  <si>
    <t>Valentino</t>
  </si>
  <si>
    <t>FASE 1: GIRONE DI QUALIFICAZIONE</t>
  </si>
  <si>
    <t>FASE 2: GIRONE FINALE AD ELIMINAZIONE DIRETTA</t>
  </si>
  <si>
    <t>Con peso air-hockey (30) (30 * 4 * 7 punti = 840)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</si>
</sst>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00"/>
    <numFmt numFmtId="167" formatCode="0.000%"/>
    <numFmt numFmtId="168" formatCode="#,##0.0"/>
  </numFmts>
  <fonts count="26" x14ac:knownFonts="1"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4"/>
      <color theme="1"/>
      <name val="Tahoma"/>
      <family val="2"/>
    </font>
    <font>
      <b/>
      <sz val="14"/>
      <color rgb="FF000000"/>
      <name val="Tahoma"/>
      <family val="2"/>
    </font>
    <font>
      <b/>
      <sz val="11"/>
      <color rgb="FF000000"/>
      <name val="Tahoma"/>
      <family val="2"/>
    </font>
    <font>
      <sz val="14"/>
      <color theme="1"/>
      <name val="Tahoma"/>
      <family val="2"/>
    </font>
    <font>
      <sz val="14"/>
      <color rgb="FF000000"/>
      <name val="Tahoma"/>
      <family val="2"/>
    </font>
    <font>
      <b/>
      <sz val="15"/>
      <color rgb="FF000000"/>
      <name val="Tahoma"/>
      <family val="2"/>
    </font>
    <font>
      <sz val="11"/>
      <color theme="1"/>
      <name val="Tahoma"/>
      <family val="2"/>
    </font>
    <font>
      <sz val="11"/>
      <color rgb="FF808080"/>
      <name val="Tahoma"/>
      <family val="2"/>
    </font>
    <font>
      <sz val="11"/>
      <color theme="1" tint="0.499984740745262"/>
      <name val="Tahoma"/>
      <family val="2"/>
    </font>
    <font>
      <b/>
      <sz val="12"/>
      <color theme="1"/>
      <name val="Tahoma"/>
      <family val="2"/>
    </font>
    <font>
      <b/>
      <sz val="16"/>
      <color theme="1"/>
      <name val="Tahoma"/>
      <family val="2"/>
    </font>
    <font>
      <b/>
      <sz val="18"/>
      <color theme="1"/>
      <name val="Tahoma"/>
      <family val="2"/>
    </font>
    <font>
      <sz val="11"/>
      <name val="Tahoma"/>
      <family val="2"/>
    </font>
    <font>
      <u/>
      <sz val="48"/>
      <color theme="1"/>
      <name val="Tahoma"/>
      <family val="2"/>
    </font>
    <font>
      <u/>
      <sz val="24"/>
      <color theme="1"/>
      <name val="Tahoma"/>
      <family val="2"/>
    </font>
    <font>
      <sz val="8"/>
      <name val="Tahoma"/>
      <family val="2"/>
    </font>
    <font>
      <sz val="16"/>
      <color theme="1"/>
      <name val="Tahoma"/>
      <family val="2"/>
    </font>
    <font>
      <sz val="11"/>
      <color rgb="FF000000"/>
      <name val="Tahoma"/>
      <family val="2"/>
    </font>
    <font>
      <b/>
      <sz val="11"/>
      <color theme="0"/>
      <name val="Tahoma"/>
      <family val="2"/>
    </font>
    <font>
      <sz val="28"/>
      <color theme="1"/>
      <name val="Tahoma"/>
      <family val="2"/>
    </font>
    <font>
      <u/>
      <sz val="72"/>
      <color theme="1"/>
      <name val="Tahoma"/>
      <family val="2"/>
    </font>
    <font>
      <b/>
      <sz val="20"/>
      <color theme="1"/>
      <name val="Tahoma"/>
      <family val="2"/>
    </font>
    <font>
      <sz val="13.5"/>
      <color rgb="FF000000"/>
      <name val="Tahoma"/>
      <family val="2"/>
    </font>
    <font>
      <sz val="18"/>
      <color theme="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lightTrellis">
        <bgColor theme="0" tint="-0.14996795556505021"/>
      </patternFill>
    </fill>
    <fill>
      <patternFill patternType="solid">
        <fgColor rgb="FFFFFF00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lightTrellis">
        <bgColor rgb="FFD9D9D9"/>
      </patternFill>
    </fill>
  </fills>
  <borders count="327">
    <border>
      <left/>
      <right/>
      <top/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0" tint="-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0" tint="-0.34998626667073579"/>
      </right>
      <top/>
      <bottom style="medium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1" tint="0.34998626667073579"/>
      </top>
      <bottom style="thin">
        <color theme="0" tint="-0.24994659260841701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theme="0" tint="-0.24994659260841701"/>
      </top>
      <bottom style="medium">
        <color theme="1" tint="0.34998626667073579"/>
      </bottom>
      <diagonal/>
    </border>
    <border>
      <left style="medium">
        <color rgb="FF595959"/>
      </left>
      <right/>
      <top style="thin">
        <color rgb="FFA6A6A6"/>
      </top>
      <bottom style="medium">
        <color rgb="FF595959"/>
      </bottom>
      <diagonal/>
    </border>
    <border>
      <left/>
      <right/>
      <top style="thin">
        <color rgb="FFA6A6A6"/>
      </top>
      <bottom style="medium">
        <color rgb="FF595959"/>
      </bottom>
      <diagonal/>
    </border>
    <border>
      <left/>
      <right style="medium">
        <color rgb="FF595959"/>
      </right>
      <top style="thin">
        <color rgb="FFA6A6A6"/>
      </top>
      <bottom style="medium">
        <color rgb="FF595959"/>
      </bottom>
      <diagonal/>
    </border>
    <border>
      <left style="medium">
        <color rgb="FF595959"/>
      </left>
      <right style="thin">
        <color rgb="FFA6A6A6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 style="medium">
        <color rgb="FF595959"/>
      </top>
      <bottom style="medium">
        <color rgb="FF595959"/>
      </bottom>
      <diagonal/>
    </border>
    <border>
      <left style="thin">
        <color rgb="FFA6A6A6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 style="medium">
        <color rgb="FF595959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BFBFBF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14990691854609822"/>
      </left>
      <right style="thin">
        <color theme="0" tint="-0.499984740745262"/>
      </right>
      <top style="medium">
        <color theme="1" tint="0.149906918546098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14990691854609822"/>
      </top>
      <bottom style="thin">
        <color theme="0" tint="-0.499984740745262"/>
      </bottom>
      <diagonal/>
    </border>
    <border>
      <left style="medium">
        <color theme="1" tint="0.1499069185460982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1499069185460982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0691854609822"/>
      </left>
      <right style="thin">
        <color theme="0" tint="-0.499984740745262"/>
      </right>
      <top style="thin">
        <color theme="0" tint="-0.499984740745262"/>
      </top>
      <bottom style="medium">
        <color theme="1" tint="0.149906918546098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14990691854609822"/>
      </bottom>
      <diagonal/>
    </border>
    <border>
      <left style="thin">
        <color theme="0" tint="-0.499984740745262"/>
      </left>
      <right style="medium">
        <color theme="1" tint="0.14990691854609822"/>
      </right>
      <top style="thin">
        <color theme="0" tint="-0.499984740745262"/>
      </top>
      <bottom style="medium">
        <color theme="1" tint="0.14990691854609822"/>
      </bottom>
      <diagonal/>
    </border>
    <border>
      <left style="medium">
        <color theme="1" tint="0.14990691854609822"/>
      </left>
      <right style="thin">
        <color theme="0" tint="-0.499984740745262"/>
      </right>
      <top style="thin">
        <color theme="0" tint="-0.499984740745262"/>
      </top>
      <bottom style="medium">
        <color theme="1" tint="0.14987640003662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149876400036622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149876400036622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0.1499069185460982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14990691854609822"/>
      </right>
      <top/>
      <bottom style="thin">
        <color theme="0" tint="-0.499984740745262"/>
      </bottom>
      <diagonal/>
    </border>
    <border>
      <left style="medium">
        <color rgb="FF595959"/>
      </left>
      <right style="thin">
        <color rgb="FF595959"/>
      </right>
      <top/>
      <bottom style="thin">
        <color rgb="FFBFBFBF"/>
      </bottom>
      <diagonal/>
    </border>
    <border>
      <left/>
      <right style="medium">
        <color theme="1" tint="0.34998626667073579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medium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medium">
        <color theme="1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medium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 style="medium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/>
      <top style="medium">
        <color theme="1"/>
      </top>
      <bottom style="dashed">
        <color theme="1"/>
      </bottom>
      <diagonal/>
    </border>
    <border>
      <left/>
      <right/>
      <top style="medium">
        <color theme="1"/>
      </top>
      <bottom style="dashed">
        <color theme="1"/>
      </bottom>
      <diagonal/>
    </border>
    <border>
      <left/>
      <right style="dashed">
        <color theme="1"/>
      </right>
      <top style="medium">
        <color theme="1"/>
      </top>
      <bottom style="dashed">
        <color theme="1"/>
      </bottom>
      <diagonal/>
    </border>
    <border>
      <left style="dashed">
        <color theme="1"/>
      </left>
      <right/>
      <top style="dashed">
        <color theme="1"/>
      </top>
      <bottom style="medium">
        <color theme="1"/>
      </bottom>
      <diagonal/>
    </border>
    <border>
      <left/>
      <right/>
      <top style="dashed">
        <color theme="1"/>
      </top>
      <bottom style="medium">
        <color theme="1"/>
      </bottom>
      <diagonal/>
    </border>
    <border>
      <left/>
      <right style="dashed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/>
      <top style="dashed">
        <color theme="1"/>
      </top>
      <bottom style="dashed">
        <color theme="1"/>
      </bottom>
      <diagonal/>
    </border>
    <border>
      <left/>
      <right/>
      <top style="dashed">
        <color theme="1"/>
      </top>
      <bottom style="dashed">
        <color theme="1"/>
      </bottom>
      <diagonal/>
    </border>
    <border>
      <left/>
      <right style="dashed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 tint="0.1498458815271462"/>
      </left>
      <right/>
      <top/>
      <bottom/>
      <diagonal/>
    </border>
    <border>
      <left style="medium">
        <color theme="1" tint="0.1498458815271462"/>
      </left>
      <right style="dashed">
        <color theme="1" tint="0.14981536301767021"/>
      </right>
      <top/>
      <bottom/>
      <diagonal/>
    </border>
    <border>
      <left style="medium">
        <color theme="1" tint="0.1498458815271462"/>
      </left>
      <right style="dashed">
        <color theme="1" tint="0.14981536301767021"/>
      </right>
      <top/>
      <bottom style="medium">
        <color theme="1" tint="0.14990691854609822"/>
      </bottom>
      <diagonal/>
    </border>
    <border>
      <left style="medium">
        <color theme="1" tint="0.1498458815271462"/>
      </left>
      <right style="dashed">
        <color theme="1" tint="0.14981536301767021"/>
      </right>
      <top style="medium">
        <color theme="1" tint="0.14990691854609822"/>
      </top>
      <bottom/>
      <diagonal/>
    </border>
    <border>
      <left style="medium">
        <color theme="1" tint="0.1498458815271462"/>
      </left>
      <right style="dashed">
        <color theme="1" tint="0.14981536301767021"/>
      </right>
      <top/>
      <bottom style="medium">
        <color theme="1" tint="0.14993743705557422"/>
      </bottom>
      <diagonal/>
    </border>
    <border>
      <left style="dashed">
        <color theme="1" tint="0.14981536301767021"/>
      </left>
      <right/>
      <top style="medium">
        <color theme="1" tint="0.14996795556505021"/>
      </top>
      <bottom style="thin">
        <color theme="1" tint="0.14996795556505021"/>
      </bottom>
      <diagonal/>
    </border>
    <border>
      <left style="dashed">
        <color theme="1" tint="0.14981536301767021"/>
      </left>
      <right/>
      <top style="thin">
        <color theme="1" tint="0.14996795556505021"/>
      </top>
      <bottom style="thin">
        <color theme="1" tint="0.14996795556505021"/>
      </bottom>
      <diagonal/>
    </border>
    <border>
      <left style="dashed">
        <color theme="1" tint="0.14981536301767021"/>
      </left>
      <right/>
      <top style="thin">
        <color theme="1" tint="0.14996795556505021"/>
      </top>
      <bottom style="medium">
        <color theme="1" tint="0.14996795556505021"/>
      </bottom>
      <diagonal/>
    </border>
    <border>
      <left style="medium">
        <color theme="1" tint="0.14993743705557422"/>
      </left>
      <right style="dashed">
        <color theme="1" tint="0.14993743705557422"/>
      </right>
      <top style="medium">
        <color theme="1" tint="0.14993743705557422"/>
      </top>
      <bottom style="dashed">
        <color theme="1" tint="0.14993743705557422"/>
      </bottom>
      <diagonal/>
    </border>
    <border>
      <left style="dashed">
        <color theme="1" tint="0.14993743705557422"/>
      </left>
      <right style="medium">
        <color theme="1" tint="0.14993743705557422"/>
      </right>
      <top style="medium">
        <color theme="1" tint="0.14993743705557422"/>
      </top>
      <bottom style="dashed">
        <color theme="1" tint="0.14993743705557422"/>
      </bottom>
      <diagonal/>
    </border>
    <border>
      <left style="medium">
        <color theme="1" tint="0.14993743705557422"/>
      </left>
      <right style="dashed">
        <color theme="1" tint="0.14993743705557422"/>
      </right>
      <top style="dashed">
        <color theme="1" tint="0.14993743705557422"/>
      </top>
      <bottom style="dashed">
        <color theme="1" tint="0.14993743705557422"/>
      </bottom>
      <diagonal/>
    </border>
    <border>
      <left style="dashed">
        <color theme="1" tint="0.14993743705557422"/>
      </left>
      <right style="medium">
        <color theme="1" tint="0.14993743705557422"/>
      </right>
      <top style="dashed">
        <color theme="1" tint="0.14993743705557422"/>
      </top>
      <bottom style="dashed">
        <color theme="1" tint="0.14993743705557422"/>
      </bottom>
      <diagonal/>
    </border>
    <border>
      <left style="medium">
        <color theme="1" tint="0.14993743705557422"/>
      </left>
      <right style="dashed">
        <color theme="1" tint="0.14993743705557422"/>
      </right>
      <top style="dashed">
        <color theme="1" tint="0.14993743705557422"/>
      </top>
      <bottom style="medium">
        <color theme="1" tint="0.14993743705557422"/>
      </bottom>
      <diagonal/>
    </border>
    <border>
      <left style="dashed">
        <color theme="1" tint="0.14993743705557422"/>
      </left>
      <right style="medium">
        <color theme="1" tint="0.14993743705557422"/>
      </right>
      <top style="dashed">
        <color theme="1" tint="0.14993743705557422"/>
      </top>
      <bottom style="medium">
        <color theme="1" tint="0.1499374370555742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 tint="0.14990691854609822"/>
      </bottom>
      <diagonal/>
    </border>
    <border>
      <left/>
      <right style="medium">
        <color theme="1" tint="0.34998626667073579"/>
      </right>
      <top/>
      <bottom style="thin">
        <color theme="0" tint="-0.34998626667073579"/>
      </bottom>
      <diagonal/>
    </border>
    <border>
      <left style="dashed">
        <color theme="1" tint="0.14981536301767021"/>
      </left>
      <right/>
      <top/>
      <bottom style="thin">
        <color theme="1" tint="0.14996795556505021"/>
      </bottom>
      <diagonal/>
    </border>
    <border>
      <left/>
      <right style="thin">
        <color theme="0" tint="-0.499984740745262"/>
      </right>
      <top style="medium">
        <color theme="1" tint="0.1499069185460982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 tint="0.1498764000366222"/>
      </bottom>
      <diagonal/>
    </border>
    <border>
      <left style="medium">
        <color rgb="FF595959"/>
      </left>
      <right/>
      <top style="medium">
        <color rgb="FF595959"/>
      </top>
      <bottom style="dashed">
        <color theme="1" tint="0.499984740745262"/>
      </bottom>
      <diagonal/>
    </border>
    <border>
      <left/>
      <right style="medium">
        <color rgb="FF595959"/>
      </right>
      <top style="medium">
        <color rgb="FF595959"/>
      </top>
      <bottom style="dashed">
        <color theme="1" tint="0.499984740745262"/>
      </bottom>
      <diagonal/>
    </border>
    <border>
      <left style="medium">
        <color rgb="FF595959"/>
      </left>
      <right/>
      <top style="dashed">
        <color theme="1" tint="0.499984740745262"/>
      </top>
      <bottom style="dashed">
        <color theme="1" tint="0.499984740745262"/>
      </bottom>
      <diagonal/>
    </border>
    <border>
      <left/>
      <right style="medium">
        <color rgb="FF595959"/>
      </right>
      <top style="dashed">
        <color theme="1" tint="0.499984740745262"/>
      </top>
      <bottom style="dashed">
        <color theme="1" tint="0.499984740745262"/>
      </bottom>
      <diagonal/>
    </border>
    <border>
      <left style="medium">
        <color theme="1" tint="0.14993743705557422"/>
      </left>
      <right style="dashed">
        <color theme="1" tint="0.14993743705557422"/>
      </right>
      <top/>
      <bottom style="dashed">
        <color theme="1" tint="0.14993743705557422"/>
      </bottom>
      <diagonal/>
    </border>
    <border>
      <left style="dashed">
        <color theme="1" tint="0.14993743705557422"/>
      </left>
      <right style="medium">
        <color theme="1" tint="0.14993743705557422"/>
      </right>
      <top/>
      <bottom style="dashed">
        <color theme="1" tint="0.14993743705557422"/>
      </bottom>
      <diagonal/>
    </border>
    <border>
      <left style="medium">
        <color theme="1"/>
      </left>
      <right style="dashed">
        <color theme="1"/>
      </right>
      <top/>
      <bottom style="medium">
        <color theme="1"/>
      </bottom>
      <diagonal/>
    </border>
    <border>
      <left style="dashed">
        <color theme="1"/>
      </left>
      <right style="dashed">
        <color theme="1"/>
      </right>
      <top/>
      <bottom style="medium">
        <color theme="1"/>
      </bottom>
      <diagonal/>
    </border>
    <border>
      <left style="dashed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 tint="0.34998626667073579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 tint="0.34998626667073579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/>
      <top/>
      <bottom style="dashed">
        <color theme="1"/>
      </bottom>
      <diagonal/>
    </border>
    <border>
      <left/>
      <right/>
      <top/>
      <bottom style="dashed">
        <color theme="1"/>
      </bottom>
      <diagonal/>
    </border>
    <border>
      <left/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 style="medium">
        <color theme="1" tint="0.34998626667073579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medium">
        <color theme="1" tint="0.34998626667073579"/>
      </top>
      <bottom style="dashed">
        <color theme="1"/>
      </bottom>
      <diagonal/>
    </border>
    <border>
      <left style="medium">
        <color theme="1" tint="0.1498458815271462"/>
      </left>
      <right/>
      <top/>
      <bottom style="medium">
        <color theme="1" tint="0.1498458815271462"/>
      </bottom>
      <diagonal/>
    </border>
    <border>
      <left style="medium">
        <color theme="1" tint="0.14981536301767021"/>
      </left>
      <right/>
      <top style="medium">
        <color theme="1" tint="0.14981536301767021"/>
      </top>
      <bottom style="dashed">
        <color theme="1" tint="0.14981536301767021"/>
      </bottom>
      <diagonal/>
    </border>
    <border>
      <left/>
      <right/>
      <top style="medium">
        <color theme="1" tint="0.14981536301767021"/>
      </top>
      <bottom style="dashed">
        <color theme="1" tint="0.14981536301767021"/>
      </bottom>
      <diagonal/>
    </border>
    <border>
      <left/>
      <right style="medium">
        <color theme="1" tint="0.14981536301767021"/>
      </right>
      <top style="medium">
        <color theme="1" tint="0.14981536301767021"/>
      </top>
      <bottom style="dashed">
        <color theme="1" tint="0.14981536301767021"/>
      </bottom>
      <diagonal/>
    </border>
    <border>
      <left style="medium">
        <color theme="1" tint="0.14981536301767021"/>
      </left>
      <right/>
      <top style="dashed">
        <color theme="1" tint="0.14981536301767021"/>
      </top>
      <bottom style="dashed">
        <color theme="1" tint="0.14981536301767021"/>
      </bottom>
      <diagonal/>
    </border>
    <border>
      <left/>
      <right/>
      <top style="dashed">
        <color theme="1" tint="0.14981536301767021"/>
      </top>
      <bottom style="dashed">
        <color theme="1" tint="0.14981536301767021"/>
      </bottom>
      <diagonal/>
    </border>
    <border>
      <left/>
      <right style="medium">
        <color theme="1" tint="0.14981536301767021"/>
      </right>
      <top style="dashed">
        <color theme="1" tint="0.14981536301767021"/>
      </top>
      <bottom style="dashed">
        <color theme="1" tint="0.14981536301767021"/>
      </bottom>
      <diagonal/>
    </border>
    <border>
      <left style="medium">
        <color theme="1" tint="0.14981536301767021"/>
      </left>
      <right/>
      <top style="dashed">
        <color theme="1" tint="0.14981536301767021"/>
      </top>
      <bottom/>
      <diagonal/>
    </border>
    <border>
      <left/>
      <right/>
      <top style="dashed">
        <color theme="1" tint="0.14981536301767021"/>
      </top>
      <bottom/>
      <diagonal/>
    </border>
    <border>
      <left/>
      <right style="medium">
        <color theme="1" tint="0.14981536301767021"/>
      </right>
      <top style="dashed">
        <color theme="1" tint="0.14981536301767021"/>
      </top>
      <bottom/>
      <diagonal/>
    </border>
    <border>
      <left style="medium">
        <color theme="1" tint="0.14978484450819421"/>
      </left>
      <right/>
      <top style="medium">
        <color theme="1" tint="0.14978484450819421"/>
      </top>
      <bottom style="medium">
        <color theme="1" tint="0.14978484450819421"/>
      </bottom>
      <diagonal/>
    </border>
    <border>
      <left/>
      <right/>
      <top style="medium">
        <color theme="1" tint="0.14978484450819421"/>
      </top>
      <bottom style="medium">
        <color theme="1" tint="0.14978484450819421"/>
      </bottom>
      <diagonal/>
    </border>
    <border>
      <left/>
      <right style="medium">
        <color theme="1" tint="0.14978484450819421"/>
      </right>
      <top style="medium">
        <color theme="1" tint="0.14978484450819421"/>
      </top>
      <bottom style="medium">
        <color theme="1" tint="0.14978484450819421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rgb="FF595959"/>
      </top>
      <bottom style="medium">
        <color indexed="64"/>
      </bottom>
      <diagonal/>
    </border>
    <border>
      <left/>
      <right/>
      <top style="medium">
        <color rgb="FF595959"/>
      </top>
      <bottom style="medium">
        <color indexed="64"/>
      </bottom>
      <diagonal/>
    </border>
    <border>
      <left/>
      <right style="medium">
        <color theme="1" tint="0.34998626667073579"/>
      </right>
      <top style="medium">
        <color rgb="FF59595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14993743705557422"/>
      </left>
      <right style="medium">
        <color theme="1" tint="0.34998626667073579"/>
      </right>
      <top/>
      <bottom style="medium">
        <color theme="1" tint="0.14990691854609822"/>
      </bottom>
      <diagonal/>
    </border>
    <border>
      <left/>
      <right style="medium">
        <color theme="1" tint="0.1498764000366222"/>
      </right>
      <top/>
      <bottom style="medium">
        <color theme="1" tint="0.14990691854609822"/>
      </bottom>
      <diagonal/>
    </border>
    <border>
      <left/>
      <right/>
      <top style="medium">
        <color rgb="FF595959"/>
      </top>
      <bottom style="thin">
        <color rgb="FFA6A6A6"/>
      </bottom>
      <diagonal/>
    </border>
    <border>
      <left/>
      <right style="thin">
        <color theme="0" tint="-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rgb="FF595959"/>
      </left>
      <right/>
      <top style="medium">
        <color rgb="FF595959"/>
      </top>
      <bottom style="thin">
        <color rgb="FFA6A6A6"/>
      </bottom>
      <diagonal/>
    </border>
    <border>
      <left/>
      <right style="medium">
        <color rgb="FF595959"/>
      </right>
      <top style="medium">
        <color rgb="FF595959"/>
      </top>
      <bottom style="thin">
        <color rgb="FFA6A6A6"/>
      </bottom>
      <diagonal/>
    </border>
    <border>
      <left style="medium">
        <color indexed="64"/>
      </left>
      <right style="medium">
        <color rgb="FF595959"/>
      </right>
      <top style="medium">
        <color rgb="FF595959"/>
      </top>
      <bottom/>
      <diagonal/>
    </border>
    <border>
      <left style="medium">
        <color indexed="64"/>
      </left>
      <right style="medium">
        <color rgb="FF595959"/>
      </right>
      <top/>
      <bottom/>
      <diagonal/>
    </border>
    <border>
      <left style="thin">
        <color rgb="FF595959"/>
      </left>
      <right/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dashed">
        <color rgb="FF595959"/>
      </right>
      <top style="medium">
        <color rgb="FF595959"/>
      </top>
      <bottom style="dashed">
        <color rgb="FF595959"/>
      </bottom>
      <diagonal/>
    </border>
    <border>
      <left style="dashed">
        <color rgb="FF595959"/>
      </left>
      <right style="dashed">
        <color rgb="FF595959"/>
      </right>
      <top style="medium">
        <color rgb="FF595959"/>
      </top>
      <bottom style="dashed">
        <color rgb="FF595959"/>
      </bottom>
      <diagonal/>
    </border>
    <border>
      <left style="dashed">
        <color rgb="FF595959"/>
      </left>
      <right style="medium">
        <color rgb="FF595959"/>
      </right>
      <top style="medium">
        <color rgb="FF595959"/>
      </top>
      <bottom style="dashed">
        <color rgb="FF595959"/>
      </bottom>
      <diagonal/>
    </border>
    <border>
      <left style="medium">
        <color rgb="FF595959"/>
      </left>
      <right style="dashed">
        <color rgb="FF595959"/>
      </right>
      <top style="dashed">
        <color rgb="FF595959"/>
      </top>
      <bottom style="dashed">
        <color rgb="FF595959"/>
      </bottom>
      <diagonal/>
    </border>
    <border>
      <left style="dashed">
        <color rgb="FF595959"/>
      </left>
      <right style="dashed">
        <color rgb="FF595959"/>
      </right>
      <top style="dashed">
        <color rgb="FF595959"/>
      </top>
      <bottom style="dashed">
        <color rgb="FF595959"/>
      </bottom>
      <diagonal/>
    </border>
    <border>
      <left style="dashed">
        <color rgb="FF595959"/>
      </left>
      <right style="medium">
        <color rgb="FF595959"/>
      </right>
      <top style="dashed">
        <color rgb="FF595959"/>
      </top>
      <bottom style="dashed">
        <color rgb="FF595959"/>
      </bottom>
      <diagonal/>
    </border>
    <border>
      <left style="medium">
        <color rgb="FF595959"/>
      </left>
      <right style="dashed">
        <color rgb="FF595959"/>
      </right>
      <top style="dashed">
        <color rgb="FF595959"/>
      </top>
      <bottom style="medium">
        <color rgb="FF595959"/>
      </bottom>
      <diagonal/>
    </border>
    <border>
      <left style="dashed">
        <color rgb="FF595959"/>
      </left>
      <right style="dashed">
        <color rgb="FF595959"/>
      </right>
      <top style="dashed">
        <color rgb="FF595959"/>
      </top>
      <bottom style="medium">
        <color rgb="FF595959"/>
      </bottom>
      <diagonal/>
    </border>
    <border>
      <left style="dashed">
        <color rgb="FF595959"/>
      </left>
      <right style="medium">
        <color rgb="FF595959"/>
      </right>
      <top style="dashed">
        <color rgb="FF595959"/>
      </top>
      <bottom style="medium">
        <color rgb="FF595959"/>
      </bottom>
      <diagonal/>
    </border>
    <border>
      <left style="medium">
        <color rgb="FF595959"/>
      </left>
      <right style="dashed">
        <color rgb="FF595959"/>
      </right>
      <top/>
      <bottom style="dashed">
        <color rgb="FF595959"/>
      </bottom>
      <diagonal/>
    </border>
    <border>
      <left style="dashed">
        <color rgb="FF595959"/>
      </left>
      <right style="dashed">
        <color rgb="FF595959"/>
      </right>
      <top/>
      <bottom style="dashed">
        <color rgb="FF595959"/>
      </bottom>
      <diagonal/>
    </border>
    <border>
      <left style="dashed">
        <color rgb="FF595959"/>
      </left>
      <right style="medium">
        <color rgb="FF595959"/>
      </right>
      <top/>
      <bottom style="dashed">
        <color rgb="FF595959"/>
      </bottom>
      <diagonal/>
    </border>
    <border>
      <left style="medium">
        <color rgb="FF595959"/>
      </left>
      <right style="dashed">
        <color rgb="FF595959"/>
      </right>
      <top style="medium">
        <color rgb="FF595959"/>
      </top>
      <bottom style="thin">
        <color theme="0" tint="-0.34998626667073579"/>
      </bottom>
      <diagonal/>
    </border>
    <border>
      <left style="dashed">
        <color rgb="FF595959"/>
      </left>
      <right style="dashed">
        <color rgb="FF595959"/>
      </right>
      <top style="dashed">
        <color rgb="FF595959"/>
      </top>
      <bottom style="thin">
        <color theme="0" tint="-0.34998626667073579"/>
      </bottom>
      <diagonal/>
    </border>
    <border>
      <left style="dashed">
        <color rgb="FF595959"/>
      </left>
      <right style="dashed">
        <color rgb="FF595959"/>
      </right>
      <top style="medium">
        <color rgb="FF595959"/>
      </top>
      <bottom style="thin">
        <color theme="0" tint="-0.34998626667073579"/>
      </bottom>
      <diagonal/>
    </border>
    <border>
      <left style="dashed">
        <color rgb="FF595959"/>
      </left>
      <right style="medium">
        <color rgb="FF595959"/>
      </right>
      <top style="medium">
        <color rgb="FF595959"/>
      </top>
      <bottom style="thin">
        <color theme="0" tint="-0.34998626667073579"/>
      </bottom>
      <diagonal/>
    </border>
    <border>
      <left style="medium">
        <color rgb="FF595959"/>
      </left>
      <right style="dashed">
        <color rgb="FF595959"/>
      </right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rgb="FF595959"/>
      </left>
      <right style="dashed">
        <color rgb="FF595959"/>
      </right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rgb="FF595959"/>
      </left>
      <right style="medium">
        <color rgb="FF59595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595959"/>
      </left>
      <right style="dashed">
        <color rgb="FF595959"/>
      </right>
      <top style="thin">
        <color theme="0" tint="-0.34998626667073579"/>
      </top>
      <bottom style="medium">
        <color rgb="FF595959"/>
      </bottom>
      <diagonal/>
    </border>
    <border>
      <left style="dashed">
        <color rgb="FF595959"/>
      </left>
      <right style="dashed">
        <color rgb="FF595959"/>
      </right>
      <top style="thin">
        <color theme="0" tint="-0.34998626667073579"/>
      </top>
      <bottom style="medium">
        <color rgb="FF595959"/>
      </bottom>
      <diagonal/>
    </border>
    <border>
      <left style="dashed">
        <color rgb="FF595959"/>
      </left>
      <right style="medium">
        <color rgb="FF595959"/>
      </right>
      <top style="thin">
        <color theme="0" tint="-0.34998626667073579"/>
      </top>
      <bottom style="medium">
        <color rgb="FF595959"/>
      </bottom>
      <diagonal/>
    </border>
    <border>
      <left style="dashed">
        <color rgb="FF595959"/>
      </left>
      <right style="dashed">
        <color rgb="FF595959"/>
      </right>
      <top style="thin">
        <color theme="0" tint="-0.34998626667073579"/>
      </top>
      <bottom style="dashed">
        <color rgb="FF595959"/>
      </bottom>
      <diagonal/>
    </border>
    <border>
      <left style="thin">
        <color theme="0" tint="-0.34998626667073579"/>
      </left>
      <right style="dashed">
        <color rgb="FF595959"/>
      </right>
      <top style="medium">
        <color rgb="FF595959"/>
      </top>
      <bottom style="thin">
        <color theme="0" tint="-0.34998626667073579"/>
      </bottom>
      <diagonal/>
    </border>
    <border>
      <left style="thin">
        <color theme="0" tint="-0.34998626667073579"/>
      </left>
      <right style="dashed">
        <color rgb="FF59595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ashed">
        <color rgb="FF595959"/>
      </right>
      <top style="thin">
        <color theme="0" tint="-0.34998626667073579"/>
      </top>
      <bottom style="medium">
        <color rgb="FF595959"/>
      </bottom>
      <diagonal/>
    </border>
    <border>
      <left style="medium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/>
      <top style="thin">
        <color rgb="FFBFBFBF"/>
      </top>
      <bottom/>
      <diagonal/>
    </border>
    <border>
      <left style="medium">
        <color rgb="FF595959"/>
      </left>
      <right style="thin">
        <color rgb="FF595959"/>
      </right>
      <top style="medium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595959"/>
      </right>
      <top style="medium">
        <color rgb="FF595959"/>
      </top>
      <bottom style="thin">
        <color rgb="FF595959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 style="medium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/>
      <top/>
      <bottom style="thin">
        <color rgb="FFBFBFBF"/>
      </bottom>
      <diagonal/>
    </border>
    <border>
      <left style="medium">
        <color rgb="FF595959"/>
      </left>
      <right style="dashed">
        <color rgb="FF595959"/>
      </right>
      <top style="dashed">
        <color rgb="FF595959"/>
      </top>
      <bottom/>
      <diagonal/>
    </border>
    <border>
      <left style="dashed">
        <color rgb="FF595959"/>
      </left>
      <right style="dashed">
        <color rgb="FF595959"/>
      </right>
      <top style="dashed">
        <color rgb="FF595959"/>
      </top>
      <bottom/>
      <diagonal/>
    </border>
    <border>
      <left style="dashed">
        <color rgb="FF595959"/>
      </left>
      <right style="medium">
        <color rgb="FF595959"/>
      </right>
      <top style="dashed">
        <color rgb="FF595959"/>
      </top>
      <bottom/>
      <diagonal/>
    </border>
    <border>
      <left style="dashed">
        <color rgb="FF595959"/>
      </left>
      <right style="dashed">
        <color rgb="FF595959"/>
      </right>
      <top style="thin">
        <color theme="0" tint="-0.34998626667073579"/>
      </top>
      <bottom style="medium">
        <color auto="1"/>
      </bottom>
      <diagonal/>
    </border>
    <border>
      <left/>
      <right style="thin">
        <color theme="0" tint="-0.34998626667073579"/>
      </right>
      <top style="medium">
        <color auto="1"/>
      </top>
      <bottom style="medium">
        <color theme="1" tint="0.34998626667073579"/>
      </bottom>
      <diagonal/>
    </border>
    <border>
      <left/>
      <right/>
      <top style="medium">
        <color auto="1"/>
      </top>
      <bottom style="medium">
        <color theme="1" tint="0.34998626667073579"/>
      </bottom>
      <diagonal/>
    </border>
    <border>
      <left style="dashed">
        <color rgb="FF595959"/>
      </left>
      <right style="medium">
        <color rgb="FF595959"/>
      </right>
      <top style="thin">
        <color theme="0" tint="-0.34998626667073579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auto="1"/>
      </top>
      <bottom style="medium">
        <color theme="1" tint="0.34998626667073579"/>
      </bottom>
      <diagonal/>
    </border>
    <border>
      <left style="medium">
        <color indexed="64"/>
      </left>
      <right/>
      <top style="medium">
        <color theme="1" tint="0.34998626667073579"/>
      </top>
      <bottom style="dashed">
        <color indexed="64"/>
      </bottom>
      <diagonal/>
    </border>
    <border>
      <left/>
      <right/>
      <top style="medium">
        <color theme="1" tint="0.34998626667073579"/>
      </top>
      <bottom style="dashed">
        <color indexed="64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ashed">
        <color indexed="64"/>
      </bottom>
      <diagonal/>
    </border>
    <border>
      <left/>
      <right style="medium">
        <color theme="1" tint="0.34998626667073579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theme="1" tint="0.34998626667073579"/>
      </bottom>
      <diagonal/>
    </border>
    <border>
      <left/>
      <right/>
      <top style="dashed">
        <color indexed="64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dashed">
        <color indexed="64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 tint="0.34998626667073579"/>
      </right>
      <top style="medium">
        <color theme="1"/>
      </top>
      <bottom style="medium">
        <color theme="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medium">
        <color auto="1"/>
      </bottom>
      <diagonal/>
    </border>
    <border>
      <left style="medium">
        <color theme="1" tint="0.1499069185460982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1" tint="0.14990691854609822"/>
      </right>
      <top style="thin">
        <color theme="0" tint="-0.499984740745262"/>
      </top>
      <bottom/>
      <diagonal/>
    </border>
    <border>
      <left style="medium">
        <color theme="1" tint="0.14990691854609822"/>
      </left>
      <right style="dashed">
        <color theme="1" tint="0.1498764000366222"/>
      </right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764000366222"/>
      </left>
      <right style="dashed">
        <color theme="1" tint="0.1498764000366222"/>
      </right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764000366222"/>
      </left>
      <right style="medium">
        <color theme="1" tint="0.14990691854609822"/>
      </right>
      <top style="medium">
        <color theme="1" tint="0.1498764000366222"/>
      </top>
      <bottom style="thin">
        <color theme="0" tint="-0.499984740745262"/>
      </bottom>
      <diagonal/>
    </border>
    <border>
      <left style="medium">
        <color theme="1" tint="0.14990691854609822"/>
      </left>
      <right style="dashed">
        <color theme="1" tint="0.1498764000366222"/>
      </right>
      <top/>
      <bottom style="thin">
        <color theme="0" tint="-0.499984740745262"/>
      </bottom>
      <diagonal/>
    </border>
    <border>
      <left style="dashed">
        <color theme="1" tint="0.1498764000366222"/>
      </left>
      <right style="dashed">
        <color theme="1" tint="0.1498764000366222"/>
      </right>
      <top/>
      <bottom style="thin">
        <color theme="0" tint="-0.499984740745262"/>
      </bottom>
      <diagonal/>
    </border>
    <border>
      <left style="dashed">
        <color theme="1" tint="0.1498764000366222"/>
      </left>
      <right style="medium">
        <color theme="1" tint="0.14990691854609822"/>
      </right>
      <top/>
      <bottom style="thin">
        <color theme="0" tint="-0.499984740745262"/>
      </bottom>
      <diagonal/>
    </border>
    <border>
      <left style="dashed">
        <color theme="1" tint="0.1498764000366222"/>
      </left>
      <right style="medium">
        <color theme="1" tint="0.1499069185460982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0691854609822"/>
      </left>
      <right style="dashed">
        <color theme="1" tint="0.149876400036622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1498764000366222"/>
      </left>
      <right style="dashed">
        <color theme="1" tint="0.149876400036622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0691854609822"/>
      </left>
      <right style="dashed">
        <color theme="1" tint="0.149876400036622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764000366222"/>
      </left>
      <right style="dashed">
        <color theme="1" tint="0.149876400036622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764000366222"/>
      </left>
      <right style="medium">
        <color theme="1" tint="0.1499069185460982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93743705557422"/>
      </left>
      <right/>
      <top style="medium">
        <color theme="1" tint="0.14993743705557422"/>
      </top>
      <bottom style="dashed">
        <color theme="1" tint="0.14993743705557422"/>
      </bottom>
      <diagonal/>
    </border>
    <border>
      <left style="dashed">
        <color theme="1" tint="0.14993743705557422"/>
      </left>
      <right/>
      <top style="dashed">
        <color theme="1" tint="0.14993743705557422"/>
      </top>
      <bottom style="dashed">
        <color theme="1" tint="0.14993743705557422"/>
      </bottom>
      <diagonal/>
    </border>
    <border>
      <left style="dashed">
        <color theme="1" tint="0.14993743705557422"/>
      </left>
      <right/>
      <top style="dashed">
        <color theme="1" tint="0.14993743705557422"/>
      </top>
      <bottom style="medium">
        <color theme="1" tint="0.14993743705557422"/>
      </bottom>
      <diagonal/>
    </border>
    <border>
      <left style="medium">
        <color theme="1" tint="0.1498458815271462"/>
      </left>
      <right style="dashed">
        <color theme="1" tint="0.1498458815271462"/>
      </right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458815271462"/>
      </left>
      <right style="dashed">
        <color theme="1" tint="0.1498458815271462"/>
      </right>
      <top style="medium">
        <color theme="1" tint="0.1498764000366222"/>
      </top>
      <bottom style="thin">
        <color theme="0" tint="-0.499984740745262"/>
      </bottom>
      <diagonal/>
    </border>
    <border>
      <left style="medium">
        <color theme="1" tint="0.1498458815271462"/>
      </left>
      <right style="dashed">
        <color theme="1" tint="0.1498458815271462"/>
      </right>
      <top/>
      <bottom style="thin">
        <color theme="0" tint="-0.499984740745262"/>
      </bottom>
      <diagonal/>
    </border>
    <border>
      <left style="dashed">
        <color theme="1" tint="0.1498458815271462"/>
      </left>
      <right style="dashed">
        <color theme="1" tint="0.1498458815271462"/>
      </right>
      <top/>
      <bottom style="thin">
        <color theme="0" tint="-0.499984740745262"/>
      </bottom>
      <diagonal/>
    </border>
    <border>
      <left style="dashed">
        <color theme="1" tint="0.1498458815271462"/>
      </left>
      <right style="dashed">
        <color theme="1" tint="0.14984588152714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8458815271462"/>
      </left>
      <right style="dashed">
        <color theme="1" tint="0.14984588152714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90691854609822"/>
      </bottom>
      <diagonal/>
    </border>
    <border>
      <left style="medium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8458815271462"/>
      </bottom>
      <diagonal/>
    </border>
    <border>
      <left style="dashed">
        <color theme="1" tint="0.1498458815271462"/>
      </left>
      <right style="dashed">
        <color theme="1" tint="0.1498458815271462"/>
      </right>
      <top style="thin">
        <color theme="0" tint="-0.499984740745262"/>
      </top>
      <bottom style="medium">
        <color theme="1" tint="0.1498458815271462"/>
      </bottom>
      <diagonal/>
    </border>
    <border>
      <left style="dashed">
        <color theme="1" tint="0.1498458815271462"/>
      </left>
      <right/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458815271462"/>
      </left>
      <right/>
      <top/>
      <bottom style="thin">
        <color theme="0" tint="-0.499984740745262"/>
      </bottom>
      <diagonal/>
    </border>
    <border>
      <left style="dashed">
        <color theme="1" tint="0.14984588152714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1498458815271462"/>
      </left>
      <right/>
      <top style="thin">
        <color theme="0" tint="-0.499984740745262"/>
      </top>
      <bottom style="medium">
        <color theme="1" tint="0.1498764000366222"/>
      </bottom>
      <diagonal/>
    </border>
    <border>
      <left style="dashed">
        <color theme="1" tint="0.1498458815271462"/>
      </left>
      <right/>
      <top style="thin">
        <color theme="0" tint="-0.499984740745262"/>
      </top>
      <bottom style="medium">
        <color theme="1" tint="0.1498458815271462"/>
      </bottom>
      <diagonal/>
    </border>
    <border>
      <left style="dashed">
        <color theme="1" tint="0.1498458815271462"/>
      </left>
      <right style="medium">
        <color theme="1" tint="0.14981536301767021"/>
      </right>
      <top style="medium">
        <color theme="1" tint="0.1498764000366222"/>
      </top>
      <bottom style="thin">
        <color theme="0" tint="-0.499984740745262"/>
      </bottom>
      <diagonal/>
    </border>
    <border>
      <left style="dashed">
        <color theme="1" tint="0.1498458815271462"/>
      </left>
      <right style="medium">
        <color theme="1" tint="0.14981536301767021"/>
      </right>
      <top/>
      <bottom style="thin">
        <color theme="0" tint="-0.499984740745262"/>
      </bottom>
      <diagonal/>
    </border>
    <border>
      <left style="dashed">
        <color theme="1" tint="0.1498458815271462"/>
      </left>
      <right style="medium">
        <color theme="1" tint="0.14981536301767021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1" tint="0.1498458815271462"/>
      </left>
      <right style="medium">
        <color theme="1" tint="0.14981536301767021"/>
      </right>
      <top style="thin">
        <color theme="0" tint="-0.499984740745262"/>
      </top>
      <bottom style="medium">
        <color theme="1" tint="0.1498764000366222"/>
      </bottom>
      <diagonal/>
    </border>
    <border>
      <left style="medium">
        <color theme="1" tint="0.14981536301767021"/>
      </left>
      <right/>
      <top style="medium">
        <color theme="1" tint="0.34998626667073579"/>
      </top>
      <bottom style="thin">
        <color theme="0" tint="-0.24994659260841701"/>
      </bottom>
      <diagonal/>
    </border>
    <border>
      <left style="medium">
        <color theme="1" tint="0.1498153630176702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14981536301767021"/>
      </left>
      <right/>
      <top style="thin">
        <color theme="0" tint="-0.24994659260841701"/>
      </top>
      <bottom style="medium">
        <color theme="1" tint="0.34998626667073579"/>
      </bottom>
      <diagonal/>
    </border>
    <border>
      <left style="medium">
        <color theme="1" tint="0.14981536301767021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14978484450819421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499984740745262"/>
      </left>
      <right/>
      <top style="medium">
        <color auto="1"/>
      </top>
      <bottom style="medium">
        <color theme="1" tint="0.499984740745262"/>
      </bottom>
      <diagonal/>
    </border>
    <border>
      <left/>
      <right/>
      <top style="medium">
        <color auto="1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auto="1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auto="1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theme="1" tint="0.34998626667073579"/>
      </left>
      <right/>
      <top style="medium">
        <color indexed="64"/>
      </top>
      <bottom/>
      <diagonal/>
    </border>
    <border>
      <left style="medium">
        <color theme="1" tint="0.34998626667073579"/>
      </left>
      <right/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0.499984740745262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ashed">
        <color indexed="64"/>
      </bottom>
      <diagonal/>
    </border>
    <border>
      <left style="medium">
        <color theme="1" tint="0.34998626667073579"/>
      </left>
      <right/>
      <top style="dashed">
        <color indexed="64"/>
      </top>
      <bottom style="dashed">
        <color indexed="64"/>
      </bottom>
      <diagonal/>
    </border>
    <border>
      <left style="medium">
        <color theme="1" tint="0.34998626667073579"/>
      </left>
      <right/>
      <top style="dashed">
        <color indexed="64"/>
      </top>
      <bottom style="medium">
        <color theme="1" tint="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theme="1" tint="0.1498458815271462"/>
      </left>
      <right style="medium">
        <color theme="1" tint="0.14981536301767021"/>
      </right>
      <top style="thin">
        <color theme="0" tint="-0.499984740745262"/>
      </top>
      <bottom style="medium">
        <color theme="1" tint="0.1498458815271462"/>
      </bottom>
      <diagonal/>
    </border>
    <border>
      <left style="dashed">
        <color rgb="FF595959"/>
      </left>
      <right style="medium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rgb="FF595959"/>
      </left>
      <right style="medium">
        <color theme="1" tint="0.34998626667073579"/>
      </right>
      <top style="thin">
        <color theme="0" tint="-0.34998626667073579"/>
      </top>
      <bottom style="medium">
        <color auto="1"/>
      </bottom>
      <diagonal/>
    </border>
    <border>
      <left style="dashed">
        <color rgb="FF595959"/>
      </left>
      <right style="medium">
        <color theme="1" tint="0.34998626667073579"/>
      </right>
      <top style="dashed">
        <color rgb="FF595959"/>
      </top>
      <bottom style="dashed">
        <color rgb="FF595959"/>
      </bottom>
      <diagonal/>
    </border>
    <border>
      <left style="medium">
        <color rgb="FF595959"/>
      </left>
      <right/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/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theme="0" tint="-0.34998626667073579"/>
      </left>
      <right style="medium">
        <color theme="1" tint="0.34998626667073579"/>
      </right>
      <top style="medium">
        <color auto="1"/>
      </top>
      <bottom style="medium">
        <color theme="1" tint="0.34998626667073579"/>
      </bottom>
      <diagonal/>
    </border>
    <border>
      <left style="thin">
        <color theme="0" tint="-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14993743705557422"/>
      </left>
      <right style="dashed">
        <color theme="1" tint="0.14993743705557422"/>
      </right>
      <top style="dashed">
        <color theme="1" tint="0.14993743705557422"/>
      </top>
      <bottom style="medium">
        <color indexed="64"/>
      </bottom>
      <diagonal/>
    </border>
    <border>
      <left style="medium">
        <color theme="1" tint="0.34998626667073579"/>
      </left>
      <right/>
      <top style="medium">
        <color theme="1"/>
      </top>
      <bottom style="medium">
        <color theme="1" tint="0.34998626667073579"/>
      </bottom>
      <diagonal/>
    </border>
    <border>
      <left/>
      <right/>
      <top style="medium">
        <color theme="1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/>
      </top>
      <bottom style="medium">
        <color theme="1" tint="0.34998626667073579"/>
      </bottom>
      <diagonal/>
    </border>
    <border>
      <left style="dashed">
        <color theme="1"/>
      </left>
      <right style="medium">
        <color theme="1"/>
      </right>
      <top/>
      <bottom style="dashed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32">
    <xf numFmtId="0" fontId="0" fillId="0" borderId="0" xfId="0"/>
    <xf numFmtId="0" fontId="0" fillId="0" borderId="0" xfId="0" applyAlignment="1">
      <alignment horizontal="center"/>
    </xf>
    <xf numFmtId="0" fontId="0" fillId="7" borderId="18" xfId="0" applyFill="1" applyBorder="1" applyAlignment="1">
      <alignment horizontal="center" textRotation="90"/>
    </xf>
    <xf numFmtId="0" fontId="0" fillId="7" borderId="19" xfId="0" applyFill="1" applyBorder="1" applyAlignment="1">
      <alignment horizontal="center" textRotation="90"/>
    </xf>
    <xf numFmtId="0" fontId="0" fillId="7" borderId="20" xfId="0" applyFill="1" applyBorder="1" applyAlignment="1">
      <alignment horizontal="center" textRotation="90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1" fillId="0" borderId="0" xfId="0" applyFont="1"/>
    <xf numFmtId="0" fontId="0" fillId="0" borderId="2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8" borderId="30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0" borderId="0" xfId="0" applyFont="1"/>
    <xf numFmtId="0" fontId="0" fillId="0" borderId="0" xfId="0" quotePrefix="1"/>
    <xf numFmtId="0" fontId="0" fillId="0" borderId="42" xfId="0" applyBorder="1"/>
    <xf numFmtId="0" fontId="16" fillId="0" borderId="0" xfId="0" applyFont="1" applyAlignment="1">
      <alignment horizontal="center"/>
    </xf>
    <xf numFmtId="164" fontId="0" fillId="5" borderId="7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textRotation="90" wrapText="1"/>
    </xf>
    <xf numFmtId="0" fontId="0" fillId="0" borderId="0" xfId="0" applyAlignment="1">
      <alignment horizontal="center" vertical="center"/>
    </xf>
    <xf numFmtId="0" fontId="0" fillId="3" borderId="47" xfId="0" quotePrefix="1" applyFill="1" applyBorder="1" applyAlignment="1">
      <alignment horizontal="center" vertical="center"/>
    </xf>
    <xf numFmtId="0" fontId="0" fillId="3" borderId="49" xfId="0" quotePrefix="1" applyFill="1" applyBorder="1" applyAlignment="1">
      <alignment horizontal="center" vertical="center"/>
    </xf>
    <xf numFmtId="0" fontId="0" fillId="3" borderId="55" xfId="0" quotePrefix="1" applyFill="1" applyBorder="1" applyAlignment="1">
      <alignment horizontal="center" vertical="center"/>
    </xf>
    <xf numFmtId="0" fontId="0" fillId="3" borderId="57" xfId="0" quotePrefix="1" applyFill="1" applyBorder="1" applyAlignment="1">
      <alignment horizontal="center" vertical="center"/>
    </xf>
    <xf numFmtId="1" fontId="0" fillId="2" borderId="47" xfId="1" applyNumberFormat="1" applyFont="1" applyFill="1" applyBorder="1" applyAlignment="1">
      <alignment horizontal="center" vertical="center"/>
    </xf>
    <xf numFmtId="1" fontId="0" fillId="3" borderId="48" xfId="0" quotePrefix="1" applyNumberFormat="1" applyFill="1" applyBorder="1" applyAlignment="1">
      <alignment horizontal="center" vertical="center"/>
    </xf>
    <xf numFmtId="1" fontId="0" fillId="2" borderId="49" xfId="1" applyNumberFormat="1" applyFont="1" applyFill="1" applyBorder="1" applyAlignment="1">
      <alignment horizontal="center" vertical="center"/>
    </xf>
    <xf numFmtId="1" fontId="0" fillId="3" borderId="50" xfId="0" quotePrefix="1" applyNumberFormat="1" applyFill="1" applyBorder="1" applyAlignment="1">
      <alignment horizontal="center" vertical="center"/>
    </xf>
    <xf numFmtId="1" fontId="0" fillId="3" borderId="51" xfId="0" quotePrefix="1" applyNumberFormat="1" applyFill="1" applyBorder="1" applyAlignment="1">
      <alignment horizontal="center" vertical="center"/>
    </xf>
    <xf numFmtId="1" fontId="0" fillId="2" borderId="52" xfId="1" applyNumberFormat="1" applyFont="1" applyFill="1" applyBorder="1" applyAlignment="1">
      <alignment horizontal="center" vertical="center"/>
    </xf>
    <xf numFmtId="1" fontId="0" fillId="3" borderId="53" xfId="0" quotePrefix="1" applyNumberFormat="1" applyFill="1" applyBorder="1" applyAlignment="1">
      <alignment horizontal="center" vertical="center"/>
    </xf>
    <xf numFmtId="1" fontId="0" fillId="3" borderId="54" xfId="0" quotePrefix="1" applyNumberFormat="1" applyFill="1" applyBorder="1" applyAlignment="1">
      <alignment horizontal="center" vertical="center"/>
    </xf>
    <xf numFmtId="1" fontId="0" fillId="5" borderId="48" xfId="0" applyNumberFormat="1" applyFill="1" applyBorder="1" applyAlignment="1">
      <alignment horizontal="center" vertical="center"/>
    </xf>
    <xf numFmtId="1" fontId="0" fillId="3" borderId="47" xfId="0" quotePrefix="1" applyNumberFormat="1" applyFill="1" applyBorder="1" applyAlignment="1">
      <alignment horizontal="center" vertical="center"/>
    </xf>
    <xf numFmtId="1" fontId="0" fillId="5" borderId="50" xfId="0" applyNumberFormat="1" applyFill="1" applyBorder="1" applyAlignment="1">
      <alignment horizontal="center" vertical="center"/>
    </xf>
    <xf numFmtId="1" fontId="0" fillId="3" borderId="49" xfId="0" quotePrefix="1" applyNumberFormat="1" applyFill="1" applyBorder="1" applyAlignment="1">
      <alignment horizontal="center" vertical="center"/>
    </xf>
    <xf numFmtId="1" fontId="0" fillId="5" borderId="56" xfId="0" applyNumberFormat="1" applyFill="1" applyBorder="1" applyAlignment="1">
      <alignment horizontal="center" vertical="center"/>
    </xf>
    <xf numFmtId="1" fontId="0" fillId="3" borderId="55" xfId="0" quotePrefix="1" applyNumberFormat="1" applyFill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1" fontId="0" fillId="2" borderId="59" xfId="1" applyNumberFormat="1" applyFont="1" applyFill="1" applyBorder="1" applyAlignment="1">
      <alignment horizontal="center" vertical="center"/>
    </xf>
    <xf numFmtId="1" fontId="0" fillId="3" borderId="60" xfId="0" quotePrefix="1" applyNumberFormat="1" applyFill="1" applyBorder="1" applyAlignment="1">
      <alignment horizontal="center" vertical="center"/>
    </xf>
    <xf numFmtId="1" fontId="0" fillId="3" borderId="61" xfId="0" quotePrefix="1" applyNumberFormat="1" applyFill="1" applyBorder="1" applyAlignment="1">
      <alignment horizontal="center" vertical="center"/>
    </xf>
    <xf numFmtId="0" fontId="0" fillId="3" borderId="59" xfId="0" quotePrefix="1" applyFill="1" applyBorder="1" applyAlignment="1">
      <alignment horizontal="center" vertical="center"/>
    </xf>
    <xf numFmtId="1" fontId="0" fillId="5" borderId="60" xfId="0" applyNumberFormat="1" applyFill="1" applyBorder="1" applyAlignment="1">
      <alignment horizontal="center" vertical="center"/>
    </xf>
    <xf numFmtId="1" fontId="0" fillId="3" borderId="59" xfId="0" quotePrefix="1" applyNumberFormat="1" applyFill="1" applyBorder="1" applyAlignment="1">
      <alignment horizontal="center" vertical="center"/>
    </xf>
    <xf numFmtId="0" fontId="0" fillId="3" borderId="60" xfId="0" quotePrefix="1" applyFill="1" applyBorder="1" applyAlignment="1">
      <alignment horizontal="center" vertical="center"/>
    </xf>
    <xf numFmtId="0" fontId="0" fillId="2" borderId="68" xfId="0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3" fontId="0" fillId="2" borderId="70" xfId="0" applyNumberFormat="1" applyFill="1" applyBorder="1" applyAlignment="1">
      <alignment horizontal="center"/>
    </xf>
    <xf numFmtId="0" fontId="0" fillId="2" borderId="71" xfId="0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3" fontId="0" fillId="2" borderId="72" xfId="0" applyNumberFormat="1" applyFill="1" applyBorder="1" applyAlignment="1">
      <alignment horizontal="center"/>
    </xf>
    <xf numFmtId="0" fontId="0" fillId="2" borderId="73" xfId="0" applyFill="1" applyBorder="1" applyAlignment="1">
      <alignment horizontal="center"/>
    </xf>
    <xf numFmtId="0" fontId="0" fillId="2" borderId="74" xfId="0" applyFill="1" applyBorder="1" applyAlignment="1">
      <alignment horizontal="center"/>
    </xf>
    <xf numFmtId="3" fontId="0" fillId="2" borderId="75" xfId="0" applyNumberFormat="1" applyFill="1" applyBorder="1" applyAlignment="1">
      <alignment horizontal="center"/>
    </xf>
    <xf numFmtId="0" fontId="0" fillId="5" borderId="68" xfId="0" applyFill="1" applyBorder="1" applyAlignment="1">
      <alignment horizontal="center"/>
    </xf>
    <xf numFmtId="0" fontId="0" fillId="5" borderId="69" xfId="0" applyFill="1" applyBorder="1" applyAlignment="1">
      <alignment horizontal="center"/>
    </xf>
    <xf numFmtId="3" fontId="0" fillId="5" borderId="70" xfId="0" applyNumberFormat="1" applyFill="1" applyBorder="1" applyAlignment="1">
      <alignment horizontal="center"/>
    </xf>
    <xf numFmtId="0" fontId="0" fillId="5" borderId="71" xfId="0" applyFill="1" applyBorder="1" applyAlignment="1">
      <alignment horizontal="center"/>
    </xf>
    <xf numFmtId="0" fontId="0" fillId="5" borderId="67" xfId="0" applyFill="1" applyBorder="1" applyAlignment="1">
      <alignment horizontal="center"/>
    </xf>
    <xf numFmtId="3" fontId="0" fillId="5" borderId="72" xfId="0" applyNumberFormat="1" applyFill="1" applyBorder="1" applyAlignment="1">
      <alignment horizontal="center"/>
    </xf>
    <xf numFmtId="0" fontId="0" fillId="5" borderId="73" xfId="0" applyFill="1" applyBorder="1" applyAlignment="1">
      <alignment horizontal="center"/>
    </xf>
    <xf numFmtId="0" fontId="0" fillId="5" borderId="74" xfId="0" applyFill="1" applyBorder="1" applyAlignment="1">
      <alignment horizontal="center"/>
    </xf>
    <xf numFmtId="3" fontId="0" fillId="5" borderId="75" xfId="0" applyNumberFormat="1" applyFill="1" applyBorder="1" applyAlignment="1">
      <alignment horizontal="center"/>
    </xf>
    <xf numFmtId="0" fontId="0" fillId="4" borderId="68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3" fontId="0" fillId="4" borderId="70" xfId="0" applyNumberFormat="1" applyFill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3" fontId="0" fillId="4" borderId="72" xfId="0" applyNumberFormat="1" applyFill="1" applyBorder="1" applyAlignment="1">
      <alignment horizontal="center"/>
    </xf>
    <xf numFmtId="0" fontId="0" fillId="4" borderId="73" xfId="0" applyFill="1" applyBorder="1" applyAlignment="1">
      <alignment horizontal="center"/>
    </xf>
    <xf numFmtId="3" fontId="0" fillId="4" borderId="75" xfId="0" applyNumberFormat="1" applyFill="1" applyBorder="1" applyAlignment="1">
      <alignment horizontal="center"/>
    </xf>
    <xf numFmtId="3" fontId="0" fillId="2" borderId="67" xfId="0" applyNumberFormat="1" applyFill="1" applyBorder="1" applyAlignment="1">
      <alignment horizontal="center"/>
    </xf>
    <xf numFmtId="3" fontId="0" fillId="5" borderId="67" xfId="0" applyNumberFormat="1" applyFill="1" applyBorder="1" applyAlignment="1">
      <alignment horizontal="center"/>
    </xf>
    <xf numFmtId="3" fontId="0" fillId="5" borderId="74" xfId="0" applyNumberFormat="1" applyFill="1" applyBorder="1" applyAlignment="1">
      <alignment horizontal="center"/>
    </xf>
    <xf numFmtId="3" fontId="0" fillId="4" borderId="67" xfId="0" applyNumberFormat="1" applyFill="1" applyBorder="1" applyAlignment="1">
      <alignment horizontal="center"/>
    </xf>
    <xf numFmtId="0" fontId="0" fillId="4" borderId="74" xfId="0" applyFill="1" applyBorder="1" applyAlignment="1">
      <alignment horizontal="center"/>
    </xf>
    <xf numFmtId="3" fontId="0" fillId="4" borderId="74" xfId="0" applyNumberFormat="1" applyFill="1" applyBorder="1" applyAlignment="1">
      <alignment horizontal="center"/>
    </xf>
    <xf numFmtId="0" fontId="0" fillId="3" borderId="0" xfId="0" quotePrefix="1" applyFill="1" applyAlignment="1">
      <alignment horizontal="center" vertical="center"/>
    </xf>
    <xf numFmtId="1" fontId="0" fillId="2" borderId="99" xfId="1" applyNumberFormat="1" applyFont="1" applyFill="1" applyBorder="1" applyAlignment="1">
      <alignment horizontal="center" vertical="center"/>
    </xf>
    <xf numFmtId="1" fontId="0" fillId="2" borderId="100" xfId="1" applyNumberFormat="1" applyFont="1" applyFill="1" applyBorder="1" applyAlignment="1">
      <alignment horizontal="center" vertical="center"/>
    </xf>
    <xf numFmtId="1" fontId="0" fillId="2" borderId="101" xfId="1" applyNumberFormat="1" applyFont="1" applyFill="1" applyBorder="1" applyAlignment="1">
      <alignment horizontal="center" vertical="center"/>
    </xf>
    <xf numFmtId="0" fontId="0" fillId="3" borderId="102" xfId="0" quotePrefix="1" applyFill="1" applyBorder="1" applyAlignment="1">
      <alignment horizontal="center" vertical="center"/>
    </xf>
    <xf numFmtId="0" fontId="0" fillId="3" borderId="104" xfId="0" quotePrefix="1" applyFill="1" applyBorder="1" applyAlignment="1">
      <alignment horizontal="center" vertical="center"/>
    </xf>
    <xf numFmtId="0" fontId="0" fillId="3" borderId="99" xfId="0" quotePrefix="1" applyFill="1" applyBorder="1" applyAlignment="1">
      <alignment horizontal="center" vertical="center"/>
    </xf>
    <xf numFmtId="0" fontId="0" fillId="3" borderId="100" xfId="0" quotePrefix="1" applyFill="1" applyBorder="1" applyAlignment="1">
      <alignment horizontal="center" vertical="center"/>
    </xf>
    <xf numFmtId="0" fontId="0" fillId="3" borderId="105" xfId="0" quotePrefix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11" borderId="0" xfId="0" applyFill="1" applyAlignment="1">
      <alignment horizontal="center"/>
    </xf>
    <xf numFmtId="165" fontId="0" fillId="2" borderId="72" xfId="1" applyNumberFormat="1" applyFont="1" applyFill="1" applyBorder="1" applyAlignment="1">
      <alignment horizontal="center"/>
    </xf>
    <xf numFmtId="165" fontId="0" fillId="2" borderId="75" xfId="1" applyNumberFormat="1" applyFont="1" applyFill="1" applyBorder="1" applyAlignment="1">
      <alignment horizontal="center"/>
    </xf>
    <xf numFmtId="165" fontId="0" fillId="5" borderId="72" xfId="1" applyNumberFormat="1" applyFont="1" applyFill="1" applyBorder="1" applyAlignment="1">
      <alignment horizontal="center"/>
    </xf>
    <xf numFmtId="165" fontId="0" fillId="5" borderId="75" xfId="1" applyNumberFormat="1" applyFont="1" applyFill="1" applyBorder="1" applyAlignment="1">
      <alignment horizontal="center"/>
    </xf>
    <xf numFmtId="0" fontId="0" fillId="4" borderId="121" xfId="0" applyFill="1" applyBorder="1" applyAlignment="1">
      <alignment horizontal="center"/>
    </xf>
    <xf numFmtId="0" fontId="0" fillId="4" borderId="122" xfId="0" applyFill="1" applyBorder="1" applyAlignment="1">
      <alignment horizontal="center"/>
    </xf>
    <xf numFmtId="3" fontId="0" fillId="4" borderId="126" xfId="0" applyNumberFormat="1" applyFill="1" applyBorder="1" applyAlignment="1">
      <alignment horizontal="center"/>
    </xf>
    <xf numFmtId="165" fontId="0" fillId="4" borderId="127" xfId="1" applyNumberFormat="1" applyFont="1" applyFill="1" applyBorder="1" applyAlignment="1">
      <alignment horizontal="center"/>
    </xf>
    <xf numFmtId="165" fontId="0" fillId="4" borderId="72" xfId="1" applyNumberFormat="1" applyFont="1" applyFill="1" applyBorder="1" applyAlignment="1">
      <alignment horizontal="center"/>
    </xf>
    <xf numFmtId="165" fontId="0" fillId="4" borderId="75" xfId="1" applyNumberFormat="1" applyFon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3" fontId="0" fillId="5" borderId="5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0" fontId="0" fillId="3" borderId="159" xfId="0" quotePrefix="1" applyFill="1" applyBorder="1" applyAlignment="1">
      <alignment horizontal="center" vertical="center"/>
    </xf>
    <xf numFmtId="0" fontId="0" fillId="3" borderId="160" xfId="0" quotePrefix="1" applyFill="1" applyBorder="1" applyAlignment="1">
      <alignment horizontal="center" vertical="center"/>
    </xf>
    <xf numFmtId="0" fontId="0" fillId="2" borderId="169" xfId="0" applyFill="1" applyBorder="1" applyAlignment="1">
      <alignment horizontal="center" vertical="center"/>
    </xf>
    <xf numFmtId="0" fontId="0" fillId="3" borderId="170" xfId="0" quotePrefix="1" applyFill="1" applyBorder="1" applyAlignment="1">
      <alignment horizontal="center" vertical="center"/>
    </xf>
    <xf numFmtId="0" fontId="0" fillId="3" borderId="171" xfId="0" quotePrefix="1" applyFill="1" applyBorder="1" applyAlignment="1">
      <alignment horizontal="center" vertical="center"/>
    </xf>
    <xf numFmtId="0" fontId="0" fillId="3" borderId="172" xfId="0" quotePrefix="1" applyFill="1" applyBorder="1" applyAlignment="1">
      <alignment horizontal="center" vertical="center"/>
    </xf>
    <xf numFmtId="0" fontId="0" fillId="3" borderId="173" xfId="0" quotePrefix="1" applyFill="1" applyBorder="1" applyAlignment="1">
      <alignment horizontal="center" vertical="center"/>
    </xf>
    <xf numFmtId="0" fontId="0" fillId="3" borderId="174" xfId="0" quotePrefix="1" applyFill="1" applyBorder="1" applyAlignment="1">
      <alignment horizontal="center" vertical="center"/>
    </xf>
    <xf numFmtId="0" fontId="0" fillId="2" borderId="172" xfId="0" applyFill="1" applyBorder="1" applyAlignment="1">
      <alignment horizontal="center" vertical="center"/>
    </xf>
    <xf numFmtId="0" fontId="0" fillId="5" borderId="173" xfId="0" applyFill="1" applyBorder="1" applyAlignment="1">
      <alignment horizontal="center" vertical="center"/>
    </xf>
    <xf numFmtId="164" fontId="0" fillId="3" borderId="174" xfId="0" quotePrefix="1" applyNumberFormat="1" applyFill="1" applyBorder="1" applyAlignment="1">
      <alignment horizontal="center" vertical="center"/>
    </xf>
    <xf numFmtId="0" fontId="0" fillId="3" borderId="175" xfId="0" quotePrefix="1" applyFill="1" applyBorder="1" applyAlignment="1">
      <alignment horizontal="center" vertical="center"/>
    </xf>
    <xf numFmtId="0" fontId="0" fillId="3" borderId="176" xfId="0" quotePrefix="1" applyFill="1" applyBorder="1" applyAlignment="1">
      <alignment horizontal="center" vertical="center"/>
    </xf>
    <xf numFmtId="0" fontId="0" fillId="3" borderId="177" xfId="0" quotePrefix="1" applyFill="1" applyBorder="1" applyAlignment="1">
      <alignment horizontal="center" vertical="center"/>
    </xf>
    <xf numFmtId="0" fontId="0" fillId="3" borderId="169" xfId="0" quotePrefix="1" applyFill="1" applyBorder="1" applyAlignment="1">
      <alignment horizontal="center" vertical="center"/>
    </xf>
    <xf numFmtId="166" fontId="0" fillId="2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78" xfId="0" quotePrefix="1" applyFill="1" applyBorder="1" applyAlignment="1">
      <alignment horizontal="center" vertical="center"/>
    </xf>
    <xf numFmtId="0" fontId="0" fillId="3" borderId="179" xfId="0" quotePrefix="1" applyFill="1" applyBorder="1" applyAlignment="1">
      <alignment horizontal="center" vertical="center"/>
    </xf>
    <xf numFmtId="0" fontId="0" fillId="3" borderId="180" xfId="0" quotePrefix="1" applyFill="1" applyBorder="1" applyAlignment="1">
      <alignment horizontal="center" vertical="center"/>
    </xf>
    <xf numFmtId="0" fontId="0" fillId="2" borderId="175" xfId="0" applyFill="1" applyBorder="1" applyAlignment="1">
      <alignment horizontal="center" vertical="center"/>
    </xf>
    <xf numFmtId="164" fontId="0" fillId="3" borderId="180" xfId="0" quotePrefix="1" applyNumberFormat="1" applyFill="1" applyBorder="1" applyAlignment="1">
      <alignment horizontal="center" vertical="center"/>
    </xf>
    <xf numFmtId="164" fontId="0" fillId="3" borderId="181" xfId="0" quotePrefix="1" applyNumberFormat="1" applyFill="1" applyBorder="1" applyAlignment="1">
      <alignment horizontal="center" vertical="center"/>
    </xf>
    <xf numFmtId="164" fontId="0" fillId="5" borderId="182" xfId="0" applyNumberFormat="1" applyFill="1" applyBorder="1" applyAlignment="1">
      <alignment horizontal="center" vertical="center"/>
    </xf>
    <xf numFmtId="164" fontId="0" fillId="3" borderId="183" xfId="0" quotePrefix="1" applyNumberFormat="1" applyFill="1" applyBorder="1" applyAlignment="1">
      <alignment horizontal="center" vertical="center"/>
    </xf>
    <xf numFmtId="164" fontId="0" fillId="3" borderId="184" xfId="0" quotePrefix="1" applyNumberFormat="1" applyFill="1" applyBorder="1" applyAlignment="1">
      <alignment horizontal="center" vertical="center"/>
    </xf>
    <xf numFmtId="164" fontId="0" fillId="3" borderId="185" xfId="0" quotePrefix="1" applyNumberFormat="1" applyFill="1" applyBorder="1" applyAlignment="1">
      <alignment horizontal="center" vertical="center"/>
    </xf>
    <xf numFmtId="164" fontId="0" fillId="3" borderId="186" xfId="0" quotePrefix="1" applyNumberFormat="1" applyFill="1" applyBorder="1" applyAlignment="1">
      <alignment horizontal="center" vertical="center"/>
    </xf>
    <xf numFmtId="164" fontId="0" fillId="3" borderId="187" xfId="0" quotePrefix="1" applyNumberFormat="1" applyFill="1" applyBorder="1" applyAlignment="1">
      <alignment horizontal="center" vertical="center"/>
    </xf>
    <xf numFmtId="164" fontId="0" fillId="5" borderId="186" xfId="0" applyNumberFormat="1" applyFill="1" applyBorder="1" applyAlignment="1">
      <alignment horizontal="center" vertical="center"/>
    </xf>
    <xf numFmtId="164" fontId="0" fillId="3" borderId="188" xfId="0" quotePrefix="1" applyNumberFormat="1" applyFill="1" applyBorder="1" applyAlignment="1">
      <alignment horizontal="center" vertical="center"/>
    </xf>
    <xf numFmtId="164" fontId="0" fillId="3" borderId="189" xfId="0" quotePrefix="1" applyNumberFormat="1" applyFill="1" applyBorder="1" applyAlignment="1">
      <alignment horizontal="center" vertical="center"/>
    </xf>
    <xf numFmtId="164" fontId="0" fillId="3" borderId="190" xfId="0" quotePrefix="1" applyNumberFormat="1" applyFill="1" applyBorder="1" applyAlignment="1">
      <alignment horizontal="center" vertical="center"/>
    </xf>
    <xf numFmtId="164" fontId="0" fillId="3" borderId="191" xfId="0" quotePrefix="1" applyNumberFormat="1" applyFill="1" applyBorder="1" applyAlignment="1">
      <alignment horizontal="center" vertical="center"/>
    </xf>
    <xf numFmtId="164" fontId="0" fillId="5" borderId="191" xfId="0" applyNumberFormat="1" applyFill="1" applyBorder="1" applyAlignment="1">
      <alignment horizontal="center" vertical="center"/>
    </xf>
    <xf numFmtId="164" fontId="0" fillId="5" borderId="189" xfId="0" applyNumberFormat="1" applyFill="1" applyBorder="1" applyAlignment="1">
      <alignment horizontal="center" vertical="center"/>
    </xf>
    <xf numFmtId="0" fontId="0" fillId="3" borderId="192" xfId="0" quotePrefix="1" applyFill="1" applyBorder="1" applyAlignment="1">
      <alignment horizontal="center" vertical="center"/>
    </xf>
    <xf numFmtId="0" fontId="0" fillId="3" borderId="183" xfId="0" quotePrefix="1" applyFill="1" applyBorder="1" applyAlignment="1">
      <alignment horizontal="center" vertical="center"/>
    </xf>
    <xf numFmtId="0" fontId="0" fillId="3" borderId="184" xfId="0" quotePrefix="1" applyFill="1" applyBorder="1" applyAlignment="1">
      <alignment horizontal="center" vertical="center"/>
    </xf>
    <xf numFmtId="0" fontId="0" fillId="3" borderId="181" xfId="0" quotePrefix="1" applyFill="1" applyBorder="1" applyAlignment="1">
      <alignment horizontal="center" vertical="center"/>
    </xf>
    <xf numFmtId="0" fontId="0" fillId="4" borderId="183" xfId="0" applyFill="1" applyBorder="1" applyAlignment="1">
      <alignment horizontal="center" vertical="center"/>
    </xf>
    <xf numFmtId="0" fontId="0" fillId="3" borderId="193" xfId="0" quotePrefix="1" applyFill="1" applyBorder="1" applyAlignment="1">
      <alignment horizontal="center" vertical="center"/>
    </xf>
    <xf numFmtId="0" fontId="0" fillId="3" borderId="186" xfId="0" quotePrefix="1" applyFill="1" applyBorder="1" applyAlignment="1">
      <alignment horizontal="center" vertical="center"/>
    </xf>
    <xf numFmtId="0" fontId="0" fillId="3" borderId="187" xfId="0" quotePrefix="1" applyFill="1" applyBorder="1" applyAlignment="1">
      <alignment horizontal="center" vertical="center"/>
    </xf>
    <xf numFmtId="0" fontId="0" fillId="3" borderId="185" xfId="0" quotePrefix="1" applyFill="1" applyBorder="1" applyAlignment="1">
      <alignment horizontal="center" vertical="center"/>
    </xf>
    <xf numFmtId="0" fontId="0" fillId="4" borderId="186" xfId="0" applyFill="1" applyBorder="1" applyAlignment="1">
      <alignment horizontal="center" vertical="center"/>
    </xf>
    <xf numFmtId="0" fontId="0" fillId="3" borderId="194" xfId="0" quotePrefix="1" applyFill="1" applyBorder="1" applyAlignment="1">
      <alignment horizontal="center" vertical="center"/>
    </xf>
    <xf numFmtId="0" fontId="0" fillId="3" borderId="189" xfId="0" quotePrefix="1" applyFill="1" applyBorder="1" applyAlignment="1">
      <alignment horizontal="center" vertical="center"/>
    </xf>
    <xf numFmtId="0" fontId="0" fillId="3" borderId="188" xfId="0" quotePrefix="1" applyFill="1" applyBorder="1" applyAlignment="1">
      <alignment horizontal="center" vertical="center"/>
    </xf>
    <xf numFmtId="0" fontId="0" fillId="4" borderId="189" xfId="0" applyFill="1" applyBorder="1" applyAlignment="1">
      <alignment horizontal="center" vertical="center"/>
    </xf>
    <xf numFmtId="0" fontId="0" fillId="12" borderId="173" xfId="0" applyFill="1" applyBorder="1" applyAlignment="1">
      <alignment horizontal="center" vertical="center"/>
    </xf>
    <xf numFmtId="0" fontId="0" fillId="3" borderId="204" xfId="0" quotePrefix="1" applyFill="1" applyBorder="1" applyAlignment="1">
      <alignment horizontal="center" vertical="center"/>
    </xf>
    <xf numFmtId="0" fontId="0" fillId="3" borderId="205" xfId="0" quotePrefix="1" applyFill="1" applyBorder="1" applyAlignment="1">
      <alignment horizontal="center" vertical="center"/>
    </xf>
    <xf numFmtId="0" fontId="0" fillId="3" borderId="206" xfId="0" quotePrefix="1" applyFill="1" applyBorder="1" applyAlignment="1">
      <alignment horizontal="center" vertical="center"/>
    </xf>
    <xf numFmtId="0" fontId="0" fillId="2" borderId="204" xfId="0" applyFill="1" applyBorder="1" applyAlignment="1">
      <alignment horizontal="center" vertical="center"/>
    </xf>
    <xf numFmtId="0" fontId="0" fillId="5" borderId="170" xfId="0" applyFill="1" applyBorder="1" applyAlignment="1">
      <alignment horizontal="center" vertical="center"/>
    </xf>
    <xf numFmtId="0" fontId="0" fillId="5" borderId="176" xfId="0" applyFill="1" applyBorder="1" applyAlignment="1">
      <alignment horizontal="center" vertical="center"/>
    </xf>
    <xf numFmtId="3" fontId="0" fillId="12" borderId="162" xfId="0" applyNumberFormat="1" applyFill="1" applyBorder="1" applyAlignment="1">
      <alignment horizontal="center" vertical="center"/>
    </xf>
    <xf numFmtId="0" fontId="0" fillId="12" borderId="207" xfId="0" applyFill="1" applyBorder="1" applyAlignment="1">
      <alignment horizontal="center" vertical="center"/>
    </xf>
    <xf numFmtId="0" fontId="0" fillId="3" borderId="210" xfId="0" quotePrefix="1" applyFill="1" applyBorder="1" applyAlignment="1">
      <alignment horizontal="center" vertical="center"/>
    </xf>
    <xf numFmtId="0" fontId="0" fillId="12" borderId="68" xfId="0" applyFill="1" applyBorder="1" applyAlignment="1">
      <alignment horizontal="center"/>
    </xf>
    <xf numFmtId="0" fontId="0" fillId="12" borderId="69" xfId="0" applyFill="1" applyBorder="1" applyAlignment="1">
      <alignment horizontal="center"/>
    </xf>
    <xf numFmtId="0" fontId="0" fillId="12" borderId="71" xfId="0" applyFill="1" applyBorder="1" applyAlignment="1">
      <alignment horizontal="center"/>
    </xf>
    <xf numFmtId="0" fontId="0" fillId="12" borderId="67" xfId="0" applyFill="1" applyBorder="1" applyAlignment="1">
      <alignment horizontal="center"/>
    </xf>
    <xf numFmtId="0" fontId="0" fillId="12" borderId="73" xfId="0" applyFill="1" applyBorder="1" applyAlignment="1">
      <alignment horizontal="center"/>
    </xf>
    <xf numFmtId="0" fontId="0" fillId="12" borderId="74" xfId="0" applyFill="1" applyBorder="1" applyAlignment="1">
      <alignment horizontal="center"/>
    </xf>
    <xf numFmtId="2" fontId="0" fillId="2" borderId="215" xfId="0" applyNumberFormat="1" applyFill="1" applyBorder="1" applyAlignment="1">
      <alignment horizontal="center" vertical="center"/>
    </xf>
    <xf numFmtId="2" fontId="0" fillId="3" borderId="216" xfId="0" quotePrefix="1" applyNumberFormat="1" applyFill="1" applyBorder="1" applyAlignment="1">
      <alignment horizontal="center" vertical="center"/>
    </xf>
    <xf numFmtId="2" fontId="0" fillId="3" borderId="217" xfId="0" quotePrefix="1" applyNumberFormat="1" applyFill="1" applyBorder="1" applyAlignment="1">
      <alignment horizontal="center" vertical="center"/>
    </xf>
    <xf numFmtId="2" fontId="0" fillId="4" borderId="50" xfId="0" applyNumberFormat="1" applyFill="1" applyBorder="1" applyAlignment="1">
      <alignment horizontal="center" vertical="center"/>
    </xf>
    <xf numFmtId="2" fontId="0" fillId="5" borderId="67" xfId="0" applyNumberFormat="1" applyFill="1" applyBorder="1" applyAlignment="1">
      <alignment horizontal="center"/>
    </xf>
    <xf numFmtId="165" fontId="0" fillId="12" borderId="72" xfId="1" applyNumberFormat="1" applyFont="1" applyFill="1" applyBorder="1" applyAlignment="1">
      <alignment horizontal="center"/>
    </xf>
    <xf numFmtId="165" fontId="0" fillId="12" borderId="75" xfId="1" applyNumberFormat="1" applyFont="1" applyFill="1" applyBorder="1" applyAlignment="1">
      <alignment horizontal="center"/>
    </xf>
    <xf numFmtId="164" fontId="0" fillId="12" borderId="208" xfId="0" applyNumberFormat="1" applyFill="1" applyBorder="1" applyAlignment="1">
      <alignment horizontal="center" vertical="center"/>
    </xf>
    <xf numFmtId="166" fontId="0" fillId="5" borderId="5" xfId="0" applyNumberFormat="1" applyFill="1" applyBorder="1" applyAlignment="1">
      <alignment horizontal="center" vertical="center"/>
    </xf>
    <xf numFmtId="164" fontId="0" fillId="3" borderId="197" xfId="0" quotePrefix="1" applyNumberFormat="1" applyFill="1" applyBorder="1" applyAlignment="1">
      <alignment horizontal="center" vertical="center"/>
    </xf>
    <xf numFmtId="164" fontId="0" fillId="3" borderId="198" xfId="0" quotePrefix="1" applyNumberFormat="1" applyFill="1" applyBorder="1" applyAlignment="1">
      <alignment horizontal="center" vertical="center"/>
    </xf>
    <xf numFmtId="164" fontId="0" fillId="3" borderId="199" xfId="0" quotePrefix="1" applyNumberFormat="1" applyFill="1" applyBorder="1" applyAlignment="1">
      <alignment horizontal="center" vertical="center"/>
    </xf>
    <xf numFmtId="164" fontId="0" fillId="3" borderId="200" xfId="0" quotePrefix="1" applyNumberFormat="1" applyFill="1" applyBorder="1" applyAlignment="1">
      <alignment horizontal="center" vertical="center"/>
    </xf>
    <xf numFmtId="0" fontId="19" fillId="2" borderId="197" xfId="0" applyFont="1" applyFill="1" applyBorder="1" applyAlignment="1">
      <alignment horizontal="center" vertical="center"/>
    </xf>
    <xf numFmtId="0" fontId="19" fillId="2" borderId="198" xfId="0" applyFont="1" applyFill="1" applyBorder="1" applyAlignment="1">
      <alignment horizontal="center" vertical="center"/>
    </xf>
    <xf numFmtId="0" fontId="0" fillId="2" borderId="197" xfId="0" applyFill="1" applyBorder="1" applyAlignment="1">
      <alignment horizontal="center" vertical="center"/>
    </xf>
    <xf numFmtId="0" fontId="0" fillId="2" borderId="198" xfId="0" applyFill="1" applyBorder="1" applyAlignment="1">
      <alignment horizontal="center" vertical="center"/>
    </xf>
    <xf numFmtId="0" fontId="19" fillId="2" borderId="199" xfId="0" applyFont="1" applyFill="1" applyBorder="1" applyAlignment="1">
      <alignment horizontal="center" vertical="center"/>
    </xf>
    <xf numFmtId="0" fontId="19" fillId="2" borderId="200" xfId="0" applyFont="1" applyFill="1" applyBorder="1" applyAlignment="1">
      <alignment horizontal="center" vertical="center"/>
    </xf>
    <xf numFmtId="0" fontId="0" fillId="2" borderId="199" xfId="0" applyFill="1" applyBorder="1" applyAlignment="1">
      <alignment horizontal="center" vertical="center"/>
    </xf>
    <xf numFmtId="0" fontId="0" fillId="2" borderId="200" xfId="0" applyFill="1" applyBorder="1" applyAlignment="1">
      <alignment horizontal="center" vertical="center"/>
    </xf>
    <xf numFmtId="0" fontId="19" fillId="2" borderId="201" xfId="0" applyFont="1" applyFill="1" applyBorder="1" applyAlignment="1">
      <alignment horizontal="center" vertical="center"/>
    </xf>
    <xf numFmtId="0" fontId="19" fillId="2" borderId="202" xfId="0" applyFont="1" applyFill="1" applyBorder="1" applyAlignment="1">
      <alignment horizontal="center" vertical="center"/>
    </xf>
    <xf numFmtId="0" fontId="0" fillId="2" borderId="201" xfId="0" applyFill="1" applyBorder="1" applyAlignment="1">
      <alignment horizontal="center" vertical="center"/>
    </xf>
    <xf numFmtId="0" fontId="0" fillId="2" borderId="202" xfId="0" applyFill="1" applyBorder="1" applyAlignment="1">
      <alignment horizontal="center" vertical="center"/>
    </xf>
    <xf numFmtId="0" fontId="19" fillId="13" borderId="197" xfId="0" applyFont="1" applyFill="1" applyBorder="1" applyAlignment="1">
      <alignment horizontal="center" vertical="center"/>
    </xf>
    <xf numFmtId="0" fontId="19" fillId="13" borderId="198" xfId="0" applyFont="1" applyFill="1" applyBorder="1" applyAlignment="1">
      <alignment horizontal="center" vertical="center"/>
    </xf>
    <xf numFmtId="0" fontId="0" fillId="13" borderId="198" xfId="0" applyFill="1" applyBorder="1" applyAlignment="1">
      <alignment horizontal="center" vertical="center"/>
    </xf>
    <xf numFmtId="0" fontId="19" fillId="13" borderId="199" xfId="0" applyFont="1" applyFill="1" applyBorder="1" applyAlignment="1">
      <alignment horizontal="center" vertical="center"/>
    </xf>
    <xf numFmtId="0" fontId="19" fillId="13" borderId="200" xfId="0" applyFont="1" applyFill="1" applyBorder="1" applyAlignment="1">
      <alignment horizontal="center" vertical="center"/>
    </xf>
    <xf numFmtId="0" fontId="0" fillId="13" borderId="200" xfId="0" applyFill="1" applyBorder="1" applyAlignment="1">
      <alignment horizontal="center" vertical="center"/>
    </xf>
    <xf numFmtId="0" fontId="19" fillId="13" borderId="201" xfId="0" applyFont="1" applyFill="1" applyBorder="1" applyAlignment="1">
      <alignment horizontal="center" vertical="center"/>
    </xf>
    <xf numFmtId="0" fontId="19" fillId="13" borderId="202" xfId="0" applyFont="1" applyFill="1" applyBorder="1" applyAlignment="1">
      <alignment horizontal="center" vertical="center"/>
    </xf>
    <xf numFmtId="0" fontId="0" fillId="13" borderId="202" xfId="0" applyFill="1" applyBorder="1" applyAlignment="1">
      <alignment horizontal="center" vertical="center"/>
    </xf>
    <xf numFmtId="0" fontId="19" fillId="4" borderId="197" xfId="0" applyFont="1" applyFill="1" applyBorder="1" applyAlignment="1">
      <alignment horizontal="center" vertical="center"/>
    </xf>
    <xf numFmtId="0" fontId="19" fillId="4" borderId="198" xfId="0" applyFont="1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0" fillId="4" borderId="203" xfId="0" applyFill="1" applyBorder="1" applyAlignment="1">
      <alignment horizontal="center" vertical="center"/>
    </xf>
    <xf numFmtId="0" fontId="19" fillId="4" borderId="199" xfId="0" applyFont="1" applyFill="1" applyBorder="1" applyAlignment="1">
      <alignment horizontal="center" vertical="center"/>
    </xf>
    <xf numFmtId="0" fontId="19" fillId="4" borderId="200" xfId="0" applyFont="1" applyFill="1" applyBorder="1" applyAlignment="1">
      <alignment horizontal="center" vertical="center"/>
    </xf>
    <xf numFmtId="0" fontId="0" fillId="4" borderId="168" xfId="0" applyFill="1" applyBorder="1" applyAlignment="1">
      <alignment horizontal="center" vertical="center"/>
    </xf>
    <xf numFmtId="0" fontId="19" fillId="4" borderId="201" xfId="0" applyFont="1" applyFill="1" applyBorder="1" applyAlignment="1">
      <alignment horizontal="center" vertical="center"/>
    </xf>
    <xf numFmtId="0" fontId="19" fillId="4" borderId="202" xfId="0" applyFont="1" applyFill="1" applyBorder="1" applyAlignment="1">
      <alignment horizontal="center" vertical="center"/>
    </xf>
    <xf numFmtId="0" fontId="0" fillId="4" borderId="195" xfId="0" applyFill="1" applyBorder="1" applyAlignment="1">
      <alignment horizontal="center" vertical="center"/>
    </xf>
    <xf numFmtId="0" fontId="0" fillId="4" borderId="196" xfId="0" applyFill="1" applyBorder="1" applyAlignment="1">
      <alignment horizontal="center" vertical="center"/>
    </xf>
    <xf numFmtId="0" fontId="19" fillId="12" borderId="197" xfId="0" applyFont="1" applyFill="1" applyBorder="1" applyAlignment="1">
      <alignment horizontal="center" vertical="center"/>
    </xf>
    <xf numFmtId="0" fontId="19" fillId="12" borderId="198" xfId="0" applyFont="1" applyFill="1" applyBorder="1" applyAlignment="1">
      <alignment horizontal="center" vertical="center"/>
    </xf>
    <xf numFmtId="0" fontId="0" fillId="12" borderId="197" xfId="0" applyFill="1" applyBorder="1" applyAlignment="1">
      <alignment horizontal="center" vertical="center"/>
    </xf>
    <xf numFmtId="0" fontId="19" fillId="12" borderId="199" xfId="0" applyFont="1" applyFill="1" applyBorder="1" applyAlignment="1">
      <alignment horizontal="center" vertical="center"/>
    </xf>
    <xf numFmtId="0" fontId="19" fillId="12" borderId="200" xfId="0" applyFont="1" applyFill="1" applyBorder="1" applyAlignment="1">
      <alignment horizontal="center" vertical="center"/>
    </xf>
    <xf numFmtId="0" fontId="0" fillId="12" borderId="199" xfId="0" applyFill="1" applyBorder="1" applyAlignment="1">
      <alignment horizontal="center" vertical="center"/>
    </xf>
    <xf numFmtId="0" fontId="19" fillId="12" borderId="201" xfId="0" applyFont="1" applyFill="1" applyBorder="1" applyAlignment="1">
      <alignment horizontal="center" vertical="center"/>
    </xf>
    <xf numFmtId="0" fontId="19" fillId="12" borderId="202" xfId="0" applyFont="1" applyFill="1" applyBorder="1" applyAlignment="1">
      <alignment horizontal="center" vertical="center"/>
    </xf>
    <xf numFmtId="0" fontId="0" fillId="12" borderId="201" xfId="0" applyFill="1" applyBorder="1" applyAlignment="1">
      <alignment horizontal="center" vertical="center"/>
    </xf>
    <xf numFmtId="2" fontId="0" fillId="3" borderId="214" xfId="0" quotePrefix="1" applyNumberFormat="1" applyFill="1" applyBorder="1" applyAlignment="1">
      <alignment horizontal="center" vertical="center"/>
    </xf>
    <xf numFmtId="2" fontId="0" fillId="5" borderId="50" xfId="0" applyNumberFormat="1" applyFill="1" applyBorder="1" applyAlignment="1">
      <alignment horizontal="center" vertical="center"/>
    </xf>
    <xf numFmtId="2" fontId="0" fillId="3" borderId="50" xfId="0" quotePrefix="1" applyNumberFormat="1" applyFill="1" applyBorder="1" applyAlignment="1">
      <alignment horizontal="center" vertical="center"/>
    </xf>
    <xf numFmtId="2" fontId="0" fillId="3" borderId="218" xfId="0" quotePrefix="1" applyNumberFormat="1" applyFill="1" applyBorder="1" applyAlignment="1">
      <alignment horizontal="center" vertical="center"/>
    </xf>
    <xf numFmtId="2" fontId="0" fillId="3" borderId="219" xfId="0" quotePrefix="1" applyNumberFormat="1" applyFill="1" applyBorder="1" applyAlignment="1">
      <alignment horizontal="center" vertical="center"/>
    </xf>
    <xf numFmtId="2" fontId="0" fillId="3" borderId="220" xfId="0" quotePrefix="1" applyNumberFormat="1" applyFill="1" applyBorder="1" applyAlignment="1">
      <alignment horizontal="center" vertical="center"/>
    </xf>
    <xf numFmtId="2" fontId="0" fillId="12" borderId="221" xfId="0" applyNumberForma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166" fontId="0" fillId="12" borderId="162" xfId="0" applyNumberFormat="1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12" borderId="208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" fontId="0" fillId="12" borderId="162" xfId="0" applyNumberFormat="1" applyFill="1" applyBorder="1" applyAlignment="1">
      <alignment horizontal="center" vertical="center"/>
    </xf>
    <xf numFmtId="164" fontId="0" fillId="3" borderId="201" xfId="0" quotePrefix="1" applyNumberFormat="1" applyFill="1" applyBorder="1" applyAlignment="1">
      <alignment horizontal="center" vertical="center"/>
    </xf>
    <xf numFmtId="164" fontId="0" fillId="3" borderId="202" xfId="0" quotePrefix="1" applyNumberFormat="1" applyFill="1" applyBorder="1" applyAlignment="1">
      <alignment horizontal="center" vertical="center"/>
    </xf>
    <xf numFmtId="0" fontId="0" fillId="2" borderId="103" xfId="0" applyFill="1" applyBorder="1" applyAlignment="1">
      <alignment horizontal="center"/>
    </xf>
    <xf numFmtId="0" fontId="0" fillId="2" borderId="110" xfId="0" applyFill="1" applyBorder="1" applyAlignment="1">
      <alignment horizontal="center"/>
    </xf>
    <xf numFmtId="0" fontId="0" fillId="2" borderId="111" xfId="0" applyFill="1" applyBorder="1" applyAlignment="1">
      <alignment horizontal="center"/>
    </xf>
    <xf numFmtId="0" fontId="0" fillId="2" borderId="110" xfId="0" applyFill="1" applyBorder="1" applyAlignment="1">
      <alignment horizontal="center" vertical="center"/>
    </xf>
    <xf numFmtId="0" fontId="0" fillId="2" borderId="111" xfId="0" applyFill="1" applyBorder="1" applyAlignment="1">
      <alignment horizontal="center" vertical="center"/>
    </xf>
    <xf numFmtId="0" fontId="0" fillId="2" borderId="91" xfId="0" applyFill="1" applyBorder="1" applyAlignment="1">
      <alignment horizontal="center"/>
    </xf>
    <xf numFmtId="0" fontId="0" fillId="2" borderId="95" xfId="0" applyFill="1" applyBorder="1" applyAlignment="1">
      <alignment horizontal="center"/>
    </xf>
    <xf numFmtId="0" fontId="0" fillId="2" borderId="96" xfId="0" applyFill="1" applyBorder="1" applyAlignment="1">
      <alignment horizontal="center"/>
    </xf>
    <xf numFmtId="0" fontId="0" fillId="2" borderId="92" xfId="0" applyFill="1" applyBorder="1" applyAlignment="1">
      <alignment horizontal="center"/>
    </xf>
    <xf numFmtId="0" fontId="0" fillId="2" borderId="97" xfId="0" applyFill="1" applyBorder="1" applyAlignment="1">
      <alignment horizontal="center"/>
    </xf>
    <xf numFmtId="0" fontId="0" fillId="2" borderId="98" xfId="0" applyFill="1" applyBorder="1" applyAlignment="1">
      <alignment horizontal="center"/>
    </xf>
    <xf numFmtId="0" fontId="0" fillId="2" borderId="90" xfId="0" applyFill="1" applyBorder="1" applyAlignment="1">
      <alignment horizontal="center"/>
    </xf>
    <xf numFmtId="0" fontId="0" fillId="2" borderId="93" xfId="0" applyFill="1" applyBorder="1" applyAlignment="1">
      <alignment horizontal="center"/>
    </xf>
    <xf numFmtId="0" fontId="0" fillId="2" borderId="94" xfId="0" applyFill="1" applyBorder="1" applyAlignment="1">
      <alignment horizontal="center"/>
    </xf>
    <xf numFmtId="0" fontId="0" fillId="4" borderId="90" xfId="0" applyFill="1" applyBorder="1" applyAlignment="1">
      <alignment horizontal="center" vertical="center"/>
    </xf>
    <xf numFmtId="0" fontId="0" fillId="4" borderId="93" xfId="0" applyFill="1" applyBorder="1" applyAlignment="1">
      <alignment horizontal="center" vertical="center"/>
    </xf>
    <xf numFmtId="0" fontId="0" fillId="4" borderId="94" xfId="0" applyFill="1" applyBorder="1" applyAlignment="1">
      <alignment horizontal="center" vertical="center"/>
    </xf>
    <xf numFmtId="0" fontId="0" fillId="4" borderId="93" xfId="0" applyFill="1" applyBorder="1" applyAlignment="1">
      <alignment horizontal="center"/>
    </xf>
    <xf numFmtId="0" fontId="0" fillId="4" borderId="94" xfId="0" applyFill="1" applyBorder="1" applyAlignment="1">
      <alignment horizontal="center"/>
    </xf>
    <xf numFmtId="0" fontId="0" fillId="4" borderId="103" xfId="0" applyFill="1" applyBorder="1" applyAlignment="1">
      <alignment horizontal="center" vertical="center"/>
    </xf>
    <xf numFmtId="0" fontId="0" fillId="4" borderId="95" xfId="0" applyFill="1" applyBorder="1" applyAlignment="1">
      <alignment horizontal="center" vertical="center"/>
    </xf>
    <xf numFmtId="0" fontId="0" fillId="4" borderId="96" xfId="0" applyFill="1" applyBorder="1" applyAlignment="1">
      <alignment horizontal="center" vertical="center"/>
    </xf>
    <xf numFmtId="0" fontId="0" fillId="4" borderId="91" xfId="0" applyFill="1" applyBorder="1" applyAlignment="1">
      <alignment horizontal="center" vertical="center"/>
    </xf>
    <xf numFmtId="0" fontId="0" fillId="4" borderId="92" xfId="0" applyFill="1" applyBorder="1" applyAlignment="1">
      <alignment horizontal="center" vertical="center"/>
    </xf>
    <xf numFmtId="0" fontId="0" fillId="4" borderId="97" xfId="0" applyFill="1" applyBorder="1" applyAlignment="1">
      <alignment horizontal="center" vertical="center"/>
    </xf>
    <xf numFmtId="0" fontId="0" fillId="4" borderId="98" xfId="0" applyFill="1" applyBorder="1" applyAlignment="1">
      <alignment horizontal="center" vertical="center"/>
    </xf>
    <xf numFmtId="0" fontId="0" fillId="12" borderId="90" xfId="0" applyFill="1" applyBorder="1" applyAlignment="1">
      <alignment horizontal="center" vertical="center"/>
    </xf>
    <xf numFmtId="0" fontId="0" fillId="12" borderId="93" xfId="0" applyFill="1" applyBorder="1" applyAlignment="1">
      <alignment horizontal="center" vertical="center"/>
    </xf>
    <xf numFmtId="0" fontId="0" fillId="12" borderId="94" xfId="0" applyFill="1" applyBorder="1" applyAlignment="1">
      <alignment horizontal="center" vertical="center"/>
    </xf>
    <xf numFmtId="0" fontId="0" fillId="12" borderId="93" xfId="0" applyFill="1" applyBorder="1" applyAlignment="1">
      <alignment horizontal="center"/>
    </xf>
    <xf numFmtId="0" fontId="0" fillId="12" borderId="94" xfId="0" applyFill="1" applyBorder="1" applyAlignment="1">
      <alignment horizontal="center"/>
    </xf>
    <xf numFmtId="0" fontId="0" fillId="12" borderId="103" xfId="0" applyFill="1" applyBorder="1" applyAlignment="1">
      <alignment horizontal="center" vertical="center"/>
    </xf>
    <xf numFmtId="0" fontId="0" fillId="12" borderId="95" xfId="0" applyFill="1" applyBorder="1" applyAlignment="1">
      <alignment horizontal="center" vertical="center"/>
    </xf>
    <xf numFmtId="0" fontId="0" fillId="12" borderId="96" xfId="0" applyFill="1" applyBorder="1" applyAlignment="1">
      <alignment horizontal="center" vertical="center"/>
    </xf>
    <xf numFmtId="0" fontId="0" fillId="12" borderId="91" xfId="0" applyFill="1" applyBorder="1" applyAlignment="1">
      <alignment horizontal="center" vertical="center"/>
    </xf>
    <xf numFmtId="0" fontId="0" fillId="12" borderId="92" xfId="0" applyFill="1" applyBorder="1" applyAlignment="1">
      <alignment horizontal="center" vertical="center"/>
    </xf>
    <xf numFmtId="0" fontId="0" fillId="12" borderId="97" xfId="0" applyFill="1" applyBorder="1" applyAlignment="1">
      <alignment horizontal="center" vertical="center"/>
    </xf>
    <xf numFmtId="0" fontId="0" fillId="12" borderId="98" xfId="0" applyFill="1" applyBorder="1" applyAlignment="1">
      <alignment horizontal="center" vertical="center"/>
    </xf>
    <xf numFmtId="10" fontId="0" fillId="2" borderId="215" xfId="1" applyNumberFormat="1" applyFont="1" applyFill="1" applyBorder="1" applyAlignment="1">
      <alignment horizontal="center" vertical="center"/>
    </xf>
    <xf numFmtId="10" fontId="0" fillId="3" borderId="216" xfId="1" quotePrefix="1" applyNumberFormat="1" applyFont="1" applyFill="1" applyBorder="1" applyAlignment="1">
      <alignment horizontal="center" vertical="center"/>
    </xf>
    <xf numFmtId="10" fontId="0" fillId="3" borderId="217" xfId="1" quotePrefix="1" applyNumberFormat="1" applyFont="1" applyFill="1" applyBorder="1" applyAlignment="1">
      <alignment horizontal="center" vertical="center"/>
    </xf>
    <xf numFmtId="10" fontId="0" fillId="3" borderId="214" xfId="1" quotePrefix="1" applyNumberFormat="1" applyFont="1" applyFill="1" applyBorder="1" applyAlignment="1">
      <alignment horizontal="center" vertical="center"/>
    </xf>
    <xf numFmtId="10" fontId="0" fillId="5" borderId="50" xfId="1" applyNumberFormat="1" applyFont="1" applyFill="1" applyBorder="1" applyAlignment="1">
      <alignment horizontal="center" vertical="center"/>
    </xf>
    <xf numFmtId="10" fontId="0" fillId="3" borderId="50" xfId="1" quotePrefix="1" applyNumberFormat="1" applyFont="1" applyFill="1" applyBorder="1" applyAlignment="1">
      <alignment horizontal="center" vertical="center"/>
    </xf>
    <xf numFmtId="10" fontId="0" fillId="3" borderId="218" xfId="1" quotePrefix="1" applyNumberFormat="1" applyFont="1" applyFill="1" applyBorder="1" applyAlignment="1">
      <alignment horizontal="center" vertical="center"/>
    </xf>
    <xf numFmtId="10" fontId="0" fillId="4" borderId="50" xfId="1" applyNumberFormat="1" applyFont="1" applyFill="1" applyBorder="1" applyAlignment="1">
      <alignment horizontal="center" vertical="center"/>
    </xf>
    <xf numFmtId="10" fontId="0" fillId="3" borderId="219" xfId="1" quotePrefix="1" applyNumberFormat="1" applyFont="1" applyFill="1" applyBorder="1" applyAlignment="1">
      <alignment horizontal="center" vertical="center"/>
    </xf>
    <xf numFmtId="10" fontId="0" fillId="3" borderId="220" xfId="1" quotePrefix="1" applyNumberFormat="1" applyFont="1" applyFill="1" applyBorder="1" applyAlignment="1">
      <alignment horizontal="center" vertical="center"/>
    </xf>
    <xf numFmtId="10" fontId="0" fillId="12" borderId="221" xfId="1" applyNumberFormat="1" applyFont="1" applyFill="1" applyBorder="1" applyAlignment="1">
      <alignment horizontal="center" vertical="center"/>
    </xf>
    <xf numFmtId="1" fontId="0" fillId="5" borderId="238" xfId="0" applyNumberFormat="1" applyFill="1" applyBorder="1" applyAlignment="1">
      <alignment horizontal="center" vertical="center"/>
    </xf>
    <xf numFmtId="1" fontId="0" fillId="3" borderId="238" xfId="0" quotePrefix="1" applyNumberFormat="1" applyFill="1" applyBorder="1" applyAlignment="1">
      <alignment horizontal="center" vertical="center"/>
    </xf>
    <xf numFmtId="1" fontId="0" fillId="4" borderId="238" xfId="0" applyNumberFormat="1" applyFill="1" applyBorder="1" applyAlignment="1">
      <alignment horizontal="center" vertical="center"/>
    </xf>
    <xf numFmtId="1" fontId="0" fillId="2" borderId="239" xfId="1" applyNumberFormat="1" applyFont="1" applyFill="1" applyBorder="1" applyAlignment="1">
      <alignment horizontal="center" vertical="center"/>
    </xf>
    <xf numFmtId="1" fontId="0" fillId="3" borderId="240" xfId="0" quotePrefix="1" applyNumberFormat="1" applyFill="1" applyBorder="1" applyAlignment="1">
      <alignment horizontal="center" vertical="center"/>
    </xf>
    <xf numFmtId="1" fontId="0" fillId="3" borderId="241" xfId="0" quotePrefix="1" applyNumberFormat="1" applyFill="1" applyBorder="1" applyAlignment="1">
      <alignment horizontal="center" vertical="center"/>
    </xf>
    <xf numFmtId="1" fontId="0" fillId="3" borderId="242" xfId="0" quotePrefix="1" applyNumberFormat="1" applyFill="1" applyBorder="1" applyAlignment="1">
      <alignment horizontal="center" vertical="center"/>
    </xf>
    <xf numFmtId="1" fontId="0" fillId="3" borderId="243" xfId="0" quotePrefix="1" applyNumberFormat="1" applyFill="1" applyBorder="1" applyAlignment="1">
      <alignment horizontal="center" vertical="center"/>
    </xf>
    <xf numFmtId="1" fontId="0" fillId="3" borderId="244" xfId="0" quotePrefix="1" applyNumberFormat="1" applyFill="1" applyBorder="1" applyAlignment="1">
      <alignment horizontal="center" vertical="center"/>
    </xf>
    <xf numFmtId="1" fontId="0" fillId="3" borderId="245" xfId="0" quotePrefix="1" applyNumberFormat="1" applyFill="1" applyBorder="1" applyAlignment="1">
      <alignment horizontal="center" vertical="center"/>
    </xf>
    <xf numFmtId="1" fontId="0" fillId="3" borderId="247" xfId="0" quotePrefix="1" applyNumberFormat="1" applyFill="1" applyBorder="1" applyAlignment="1">
      <alignment horizontal="center" vertical="center"/>
    </xf>
    <xf numFmtId="1" fontId="0" fillId="5" borderId="248" xfId="0" applyNumberFormat="1" applyFill="1" applyBorder="1" applyAlignment="1">
      <alignment horizontal="center" vertical="center"/>
    </xf>
    <xf numFmtId="1" fontId="0" fillId="3" borderId="248" xfId="0" quotePrefix="1" applyNumberFormat="1" applyFill="1" applyBorder="1" applyAlignment="1">
      <alignment horizontal="center" vertical="center"/>
    </xf>
    <xf numFmtId="1" fontId="0" fillId="3" borderId="249" xfId="0" quotePrefix="1" applyNumberFormat="1" applyFill="1" applyBorder="1" applyAlignment="1">
      <alignment horizontal="center" vertical="center"/>
    </xf>
    <xf numFmtId="1" fontId="0" fillId="3" borderId="250" xfId="0" quotePrefix="1" applyNumberFormat="1" applyFill="1" applyBorder="1" applyAlignment="1">
      <alignment horizontal="center" vertical="center"/>
    </xf>
    <xf numFmtId="1" fontId="0" fillId="3" borderId="251" xfId="0" quotePrefix="1" applyNumberFormat="1" applyFill="1" applyBorder="1" applyAlignment="1">
      <alignment horizontal="center" vertical="center"/>
    </xf>
    <xf numFmtId="1" fontId="0" fillId="4" borderId="251" xfId="0" applyNumberFormat="1" applyFill="1" applyBorder="1" applyAlignment="1">
      <alignment horizontal="center" vertical="center"/>
    </xf>
    <xf numFmtId="1" fontId="0" fillId="3" borderId="252" xfId="0" quotePrefix="1" applyNumberFormat="1" applyFill="1" applyBorder="1" applyAlignment="1">
      <alignment horizontal="center" vertical="center"/>
    </xf>
    <xf numFmtId="1" fontId="0" fillId="3" borderId="253" xfId="0" quotePrefix="1" applyNumberFormat="1" applyFill="1" applyBorder="1" applyAlignment="1">
      <alignment horizontal="center" vertical="center"/>
    </xf>
    <xf numFmtId="1" fontId="0" fillId="3" borderId="254" xfId="0" quotePrefix="1" applyNumberFormat="1" applyFill="1" applyBorder="1" applyAlignment="1">
      <alignment horizontal="center" vertical="center"/>
    </xf>
    <xf numFmtId="1" fontId="0" fillId="4" borderId="254" xfId="0" applyNumberFormat="1" applyFill="1" applyBorder="1" applyAlignment="1">
      <alignment horizontal="center" vertical="center"/>
    </xf>
    <xf numFmtId="1" fontId="0" fillId="3" borderId="255" xfId="0" quotePrefix="1" applyNumberFormat="1" applyFill="1" applyBorder="1" applyAlignment="1">
      <alignment horizontal="center" vertical="center"/>
    </xf>
    <xf numFmtId="1" fontId="0" fillId="3" borderId="256" xfId="0" quotePrefix="1" applyNumberFormat="1" applyFill="1" applyBorder="1" applyAlignment="1">
      <alignment horizontal="center" vertical="center"/>
    </xf>
    <xf numFmtId="1" fontId="0" fillId="3" borderId="257" xfId="0" quotePrefix="1" applyNumberFormat="1" applyFill="1" applyBorder="1" applyAlignment="1">
      <alignment horizontal="center" vertical="center"/>
    </xf>
    <xf numFmtId="1" fontId="0" fillId="3" borderId="258" xfId="0" quotePrefix="1" applyNumberFormat="1" applyFill="1" applyBorder="1" applyAlignment="1">
      <alignment horizontal="center" vertical="center"/>
    </xf>
    <xf numFmtId="1" fontId="0" fillId="4" borderId="258" xfId="0" applyNumberFormat="1" applyFill="1" applyBorder="1" applyAlignment="1">
      <alignment horizontal="center" vertical="center"/>
    </xf>
    <xf numFmtId="1" fontId="0" fillId="3" borderId="259" xfId="0" quotePrefix="1" applyNumberFormat="1" applyFill="1" applyBorder="1" applyAlignment="1">
      <alignment horizontal="center" vertical="center"/>
    </xf>
    <xf numFmtId="1" fontId="0" fillId="3" borderId="260" xfId="0" quotePrefix="1" applyNumberFormat="1" applyFill="1" applyBorder="1" applyAlignment="1">
      <alignment horizontal="center" vertical="center"/>
    </xf>
    <xf numFmtId="1" fontId="0" fillId="4" borderId="260" xfId="0" applyNumberFormat="1" applyFill="1" applyBorder="1" applyAlignment="1">
      <alignment horizontal="center" vertical="center"/>
    </xf>
    <xf numFmtId="1" fontId="0" fillId="3" borderId="261" xfId="0" quotePrefix="1" applyNumberFormat="1" applyFill="1" applyBorder="1" applyAlignment="1">
      <alignment horizontal="center" vertical="center"/>
    </xf>
    <xf numFmtId="0" fontId="0" fillId="12" borderId="262" xfId="0" applyFill="1" applyBorder="1" applyAlignment="1">
      <alignment horizontal="center" vertical="center"/>
    </xf>
    <xf numFmtId="0" fontId="0" fillId="12" borderId="263" xfId="0" applyFill="1" applyBorder="1" applyAlignment="1">
      <alignment horizontal="center" vertical="center"/>
    </xf>
    <xf numFmtId="0" fontId="0" fillId="12" borderId="264" xfId="0" applyFill="1" applyBorder="1" applyAlignment="1">
      <alignment horizontal="center" vertical="center"/>
    </xf>
    <xf numFmtId="1" fontId="0" fillId="3" borderId="265" xfId="0" quotePrefix="1" applyNumberFormat="1" applyFill="1" applyBorder="1" applyAlignment="1">
      <alignment horizontal="center" vertical="center"/>
    </xf>
    <xf numFmtId="1" fontId="0" fillId="3" borderId="266" xfId="0" quotePrefix="1" applyNumberFormat="1" applyFill="1" applyBorder="1" applyAlignment="1">
      <alignment horizontal="center" vertical="center"/>
    </xf>
    <xf numFmtId="1" fontId="0" fillId="3" borderId="267" xfId="0" quotePrefix="1" applyNumberFormat="1" applyFill="1" applyBorder="1" applyAlignment="1">
      <alignment horizontal="center" vertical="center"/>
    </xf>
    <xf numFmtId="1" fontId="0" fillId="3" borderId="268" xfId="0" quotePrefix="1" applyNumberFormat="1" applyFill="1" applyBorder="1" applyAlignment="1">
      <alignment horizontal="center" vertical="center"/>
    </xf>
    <xf numFmtId="1" fontId="0" fillId="3" borderId="269" xfId="0" quotePrefix="1" applyNumberFormat="1" applyFill="1" applyBorder="1" applyAlignment="1">
      <alignment horizontal="center" vertical="center"/>
    </xf>
    <xf numFmtId="1" fontId="0" fillId="3" borderId="270" xfId="0" quotePrefix="1" applyNumberFormat="1" applyFill="1" applyBorder="1" applyAlignment="1">
      <alignment horizontal="center" vertical="center"/>
    </xf>
    <xf numFmtId="1" fontId="0" fillId="3" borderId="271" xfId="0" quotePrefix="1" applyNumberFormat="1" applyFill="1" applyBorder="1" applyAlignment="1">
      <alignment horizontal="center" vertical="center"/>
    </xf>
    <xf numFmtId="1" fontId="0" fillId="3" borderId="272" xfId="0" quotePrefix="1" applyNumberFormat="1" applyFill="1" applyBorder="1" applyAlignment="1">
      <alignment horizontal="center" vertical="center"/>
    </xf>
    <xf numFmtId="1" fontId="0" fillId="3" borderId="273" xfId="0" quotePrefix="1" applyNumberFormat="1" applyFill="1" applyBorder="1" applyAlignment="1">
      <alignment horizontal="center" vertical="center"/>
    </xf>
    <xf numFmtId="0" fontId="0" fillId="3" borderId="265" xfId="0" quotePrefix="1" applyFill="1" applyBorder="1" applyAlignment="1">
      <alignment horizontal="center" vertical="center"/>
    </xf>
    <xf numFmtId="0" fontId="0" fillId="3" borderId="266" xfId="0" quotePrefix="1" applyFill="1" applyBorder="1" applyAlignment="1">
      <alignment horizontal="center" vertical="center"/>
    </xf>
    <xf numFmtId="0" fontId="0" fillId="3" borderId="267" xfId="0" quotePrefix="1" applyFill="1" applyBorder="1" applyAlignment="1">
      <alignment horizontal="center" vertical="center"/>
    </xf>
    <xf numFmtId="0" fontId="0" fillId="3" borderId="268" xfId="0" quotePrefix="1" applyFill="1" applyBorder="1" applyAlignment="1">
      <alignment horizontal="center" vertical="center"/>
    </xf>
    <xf numFmtId="0" fontId="0" fillId="3" borderId="270" xfId="0" quotePrefix="1" applyFill="1" applyBorder="1" applyAlignment="1">
      <alignment horizontal="center" vertical="center"/>
    </xf>
    <xf numFmtId="0" fontId="0" fillId="3" borderId="269" xfId="0" quotePrefix="1" applyFill="1" applyBorder="1" applyAlignment="1">
      <alignment horizontal="center" vertical="center"/>
    </xf>
    <xf numFmtId="0" fontId="0" fillId="3" borderId="274" xfId="0" quotePrefix="1" applyFill="1" applyBorder="1" applyAlignment="1">
      <alignment horizontal="center" vertical="center"/>
    </xf>
    <xf numFmtId="0" fontId="0" fillId="3" borderId="275" xfId="0" quotePrefix="1" applyFill="1" applyBorder="1" applyAlignment="1">
      <alignment horizontal="center" vertical="center"/>
    </xf>
    <xf numFmtId="1" fontId="0" fillId="3" borderId="275" xfId="0" quotePrefix="1" applyNumberFormat="1" applyFill="1" applyBorder="1" applyAlignment="1">
      <alignment horizontal="center" vertical="center"/>
    </xf>
    <xf numFmtId="1" fontId="0" fillId="12" borderId="276" xfId="0" applyNumberFormat="1" applyFill="1" applyBorder="1" applyAlignment="1">
      <alignment horizontal="center" vertical="center"/>
    </xf>
    <xf numFmtId="1" fontId="0" fillId="12" borderId="277" xfId="0" applyNumberFormat="1" applyFill="1" applyBorder="1" applyAlignment="1">
      <alignment horizontal="center" vertical="center"/>
    </xf>
    <xf numFmtId="1" fontId="0" fillId="12" borderId="278" xfId="0" applyNumberFormat="1" applyFill="1" applyBorder="1" applyAlignment="1">
      <alignment horizontal="center" vertical="center"/>
    </xf>
    <xf numFmtId="1" fontId="0" fillId="12" borderId="279" xfId="0" applyNumberFormat="1" applyFill="1" applyBorder="1" applyAlignment="1">
      <alignment horizontal="center" vertical="center"/>
    </xf>
    <xf numFmtId="1" fontId="0" fillId="3" borderId="277" xfId="0" quotePrefix="1" applyNumberFormat="1" applyFill="1" applyBorder="1" applyAlignment="1">
      <alignment horizontal="center" vertical="center"/>
    </xf>
    <xf numFmtId="1" fontId="0" fillId="3" borderId="278" xfId="0" quotePrefix="1" applyNumberFormat="1" applyFill="1" applyBorder="1" applyAlignment="1">
      <alignment horizontal="center" vertical="center"/>
    </xf>
    <xf numFmtId="1" fontId="0" fillId="12" borderId="280" xfId="0" applyNumberFormat="1" applyFill="1" applyBorder="1" applyAlignment="1">
      <alignment horizontal="center" vertical="center"/>
    </xf>
    <xf numFmtId="1" fontId="0" fillId="3" borderId="274" xfId="0" quotePrefix="1" applyNumberFormat="1" applyFill="1" applyBorder="1" applyAlignment="1">
      <alignment horizontal="center" vertical="center"/>
    </xf>
    <xf numFmtId="1" fontId="0" fillId="12" borderId="281" xfId="0" applyNumberFormat="1" applyFill="1" applyBorder="1" applyAlignment="1">
      <alignment horizontal="center" vertical="center"/>
    </xf>
    <xf numFmtId="1" fontId="0" fillId="12" borderId="282" xfId="0" applyNumberFormat="1" applyFill="1" applyBorder="1" applyAlignment="1">
      <alignment horizontal="center" vertical="center"/>
    </xf>
    <xf numFmtId="1" fontId="0" fillId="12" borderId="283" xfId="0" applyNumberFormat="1" applyFill="1" applyBorder="1" applyAlignment="1">
      <alignment horizontal="center" vertical="center"/>
    </xf>
    <xf numFmtId="1" fontId="0" fillId="12" borderId="284" xfId="0" applyNumberFormat="1" applyFill="1" applyBorder="1" applyAlignment="1">
      <alignment horizontal="center" vertical="center"/>
    </xf>
    <xf numFmtId="1" fontId="0" fillId="3" borderId="282" xfId="0" quotePrefix="1" applyNumberFormat="1" applyFill="1" applyBorder="1" applyAlignment="1">
      <alignment horizontal="center" vertical="center"/>
    </xf>
    <xf numFmtId="1" fontId="0" fillId="3" borderId="283" xfId="0" quotePrefix="1" applyNumberFormat="1" applyFill="1" applyBorder="1" applyAlignment="1">
      <alignment horizontal="center" vertical="center"/>
    </xf>
    <xf numFmtId="164" fontId="0" fillId="3" borderId="102" xfId="0" quotePrefix="1" applyNumberFormat="1" applyFill="1" applyBorder="1" applyAlignment="1">
      <alignment horizontal="center" vertical="center"/>
    </xf>
    <xf numFmtId="164" fontId="0" fillId="3" borderId="0" xfId="0" quotePrefix="1" applyNumberFormat="1" applyFill="1" applyAlignment="1">
      <alignment horizontal="center" vertical="center"/>
    </xf>
    <xf numFmtId="164" fontId="0" fillId="3" borderId="63" xfId="0" quotePrefix="1" applyNumberFormat="1" applyFill="1" applyBorder="1" applyAlignment="1">
      <alignment horizontal="center" vertical="center"/>
    </xf>
    <xf numFmtId="3" fontId="0" fillId="12" borderId="70" xfId="0" applyNumberFormat="1" applyFill="1" applyBorder="1" applyAlignment="1">
      <alignment horizontal="center"/>
    </xf>
    <xf numFmtId="3" fontId="0" fillId="12" borderId="72" xfId="0" applyNumberFormat="1" applyFill="1" applyBorder="1" applyAlignment="1">
      <alignment horizontal="center"/>
    </xf>
    <xf numFmtId="3" fontId="0" fillId="12" borderId="75" xfId="0" applyNumberFormat="1" applyFill="1" applyBorder="1" applyAlignment="1">
      <alignment horizontal="center"/>
    </xf>
    <xf numFmtId="1" fontId="0" fillId="12" borderId="246" xfId="0" applyNumberFormat="1" applyFill="1" applyBorder="1" applyAlignment="1">
      <alignment horizontal="center" vertical="center"/>
    </xf>
    <xf numFmtId="1" fontId="0" fillId="3" borderId="295" xfId="1" quotePrefix="1" applyNumberFormat="1" applyFont="1" applyFill="1" applyBorder="1" applyAlignment="1">
      <alignment horizontal="center" vertical="center"/>
    </xf>
    <xf numFmtId="1" fontId="0" fillId="3" borderId="296" xfId="1" quotePrefix="1" applyNumberFormat="1" applyFont="1" applyFill="1" applyBorder="1" applyAlignment="1">
      <alignment horizontal="center" vertical="center"/>
    </xf>
    <xf numFmtId="1" fontId="0" fillId="3" borderId="297" xfId="1" quotePrefix="1" applyNumberFormat="1" applyFont="1" applyFill="1" applyBorder="1" applyAlignment="1">
      <alignment horizontal="center" vertical="center"/>
    </xf>
    <xf numFmtId="1" fontId="0" fillId="5" borderId="298" xfId="1" applyNumberFormat="1" applyFont="1" applyFill="1" applyBorder="1" applyAlignment="1">
      <alignment horizontal="center" vertical="center"/>
    </xf>
    <xf numFmtId="1" fontId="0" fillId="3" borderId="298" xfId="1" quotePrefix="1" applyNumberFormat="1" applyFont="1" applyFill="1" applyBorder="1" applyAlignment="1">
      <alignment horizontal="center" vertical="center"/>
    </xf>
    <xf numFmtId="1" fontId="0" fillId="3" borderId="299" xfId="1" quotePrefix="1" applyNumberFormat="1" applyFont="1" applyFill="1" applyBorder="1" applyAlignment="1">
      <alignment horizontal="center" vertical="center"/>
    </xf>
    <xf numFmtId="1" fontId="0" fillId="4" borderId="298" xfId="1" applyNumberFormat="1" applyFont="1" applyFill="1" applyBorder="1" applyAlignment="1">
      <alignment horizontal="center" vertical="center"/>
    </xf>
    <xf numFmtId="1" fontId="0" fillId="3" borderId="300" xfId="1" quotePrefix="1" applyNumberFormat="1" applyFont="1" applyFill="1" applyBorder="1" applyAlignment="1">
      <alignment horizontal="center" vertical="center"/>
    </xf>
    <xf numFmtId="1" fontId="0" fillId="3" borderId="301" xfId="1" quotePrefix="1" applyNumberFormat="1" applyFont="1" applyFill="1" applyBorder="1" applyAlignment="1">
      <alignment horizontal="center" vertical="center"/>
    </xf>
    <xf numFmtId="1" fontId="0" fillId="2" borderId="294" xfId="1" applyNumberFormat="1" applyFont="1" applyFill="1" applyBorder="1" applyAlignment="1">
      <alignment horizontal="center" vertical="center"/>
    </xf>
    <xf numFmtId="165" fontId="0" fillId="2" borderId="294" xfId="1" applyNumberFormat="1" applyFont="1" applyFill="1" applyBorder="1" applyAlignment="1">
      <alignment horizontal="center" vertical="center"/>
    </xf>
    <xf numFmtId="165" fontId="0" fillId="3" borderId="295" xfId="1" quotePrefix="1" applyNumberFormat="1" applyFont="1" applyFill="1" applyBorder="1" applyAlignment="1">
      <alignment horizontal="center" vertical="center"/>
    </xf>
    <xf numFmtId="165" fontId="0" fillId="3" borderId="296" xfId="1" quotePrefix="1" applyNumberFormat="1" applyFont="1" applyFill="1" applyBorder="1" applyAlignment="1">
      <alignment horizontal="center" vertical="center"/>
    </xf>
    <xf numFmtId="165" fontId="0" fillId="3" borderId="297" xfId="1" quotePrefix="1" applyNumberFormat="1" applyFont="1" applyFill="1" applyBorder="1" applyAlignment="1">
      <alignment horizontal="center" vertical="center"/>
    </xf>
    <xf numFmtId="165" fontId="0" fillId="5" borderId="298" xfId="1" applyNumberFormat="1" applyFont="1" applyFill="1" applyBorder="1" applyAlignment="1">
      <alignment horizontal="center" vertical="center"/>
    </xf>
    <xf numFmtId="165" fontId="0" fillId="3" borderId="298" xfId="1" quotePrefix="1" applyNumberFormat="1" applyFont="1" applyFill="1" applyBorder="1" applyAlignment="1">
      <alignment horizontal="center" vertical="center"/>
    </xf>
    <xf numFmtId="165" fontId="0" fillId="3" borderId="299" xfId="1" quotePrefix="1" applyNumberFormat="1" applyFont="1" applyFill="1" applyBorder="1" applyAlignment="1">
      <alignment horizontal="center" vertical="center"/>
    </xf>
    <xf numFmtId="165" fontId="0" fillId="4" borderId="298" xfId="1" applyNumberFormat="1" applyFont="1" applyFill="1" applyBorder="1" applyAlignment="1">
      <alignment horizontal="center" vertical="center"/>
    </xf>
    <xf numFmtId="165" fontId="0" fillId="3" borderId="300" xfId="1" quotePrefix="1" applyNumberFormat="1" applyFont="1" applyFill="1" applyBorder="1" applyAlignment="1">
      <alignment horizontal="center" vertical="center"/>
    </xf>
    <xf numFmtId="165" fontId="0" fillId="3" borderId="301" xfId="1" quotePrefix="1" applyNumberFormat="1" applyFont="1" applyFill="1" applyBorder="1" applyAlignment="1">
      <alignment horizontal="center" vertical="center"/>
    </xf>
    <xf numFmtId="165" fontId="0" fillId="2" borderId="295" xfId="1" applyNumberFormat="1" applyFont="1" applyFill="1" applyBorder="1" applyAlignment="1">
      <alignment horizontal="center" vertical="center"/>
    </xf>
    <xf numFmtId="1" fontId="0" fillId="12" borderId="302" xfId="1" applyNumberFormat="1" applyFont="1" applyFill="1" applyBorder="1" applyAlignment="1">
      <alignment horizontal="center" vertical="center"/>
    </xf>
    <xf numFmtId="165" fontId="0" fillId="12" borderId="302" xfId="1" applyNumberFormat="1" applyFont="1" applyFill="1" applyBorder="1" applyAlignment="1">
      <alignment horizontal="center" vertical="center"/>
    </xf>
    <xf numFmtId="0" fontId="0" fillId="14" borderId="121" xfId="0" applyFill="1" applyBorder="1" applyAlignment="1">
      <alignment horizontal="center"/>
    </xf>
    <xf numFmtId="0" fontId="0" fillId="14" borderId="122" xfId="0" applyFill="1" applyBorder="1" applyAlignment="1">
      <alignment horizontal="center"/>
    </xf>
    <xf numFmtId="3" fontId="0" fillId="14" borderId="69" xfId="0" applyNumberFormat="1" applyFill="1" applyBorder="1" applyAlignment="1">
      <alignment horizontal="center"/>
    </xf>
    <xf numFmtId="165" fontId="0" fillId="14" borderId="70" xfId="1" applyNumberFormat="1" applyFont="1" applyFill="1" applyBorder="1" applyAlignment="1">
      <alignment horizontal="center"/>
    </xf>
    <xf numFmtId="0" fontId="0" fillId="14" borderId="71" xfId="0" applyFill="1" applyBorder="1" applyAlignment="1">
      <alignment horizontal="center"/>
    </xf>
    <xf numFmtId="0" fontId="0" fillId="14" borderId="67" xfId="0" applyFill="1" applyBorder="1" applyAlignment="1">
      <alignment horizontal="center"/>
    </xf>
    <xf numFmtId="3" fontId="0" fillId="14" borderId="67" xfId="0" applyNumberFormat="1" applyFill="1" applyBorder="1" applyAlignment="1">
      <alignment horizontal="center"/>
    </xf>
    <xf numFmtId="165" fontId="0" fillId="14" borderId="72" xfId="1" applyNumberFormat="1" applyFont="1" applyFill="1" applyBorder="1" applyAlignment="1">
      <alignment horizontal="center"/>
    </xf>
    <xf numFmtId="0" fontId="0" fillId="14" borderId="73" xfId="0" applyFill="1" applyBorder="1" applyAlignment="1">
      <alignment horizontal="center"/>
    </xf>
    <xf numFmtId="0" fontId="0" fillId="14" borderId="74" xfId="0" applyFill="1" applyBorder="1" applyAlignment="1">
      <alignment horizontal="center"/>
    </xf>
    <xf numFmtId="3" fontId="0" fillId="14" borderId="74" xfId="0" applyNumberFormat="1" applyFill="1" applyBorder="1" applyAlignment="1">
      <alignment horizontal="center"/>
    </xf>
    <xf numFmtId="165" fontId="0" fillId="14" borderId="75" xfId="1" applyNumberFormat="1" applyFont="1" applyFill="1" applyBorder="1" applyAlignment="1">
      <alignment horizontal="center"/>
    </xf>
    <xf numFmtId="0" fontId="0" fillId="12" borderId="121" xfId="0" applyFill="1" applyBorder="1" applyAlignment="1">
      <alignment horizontal="center"/>
    </xf>
    <xf numFmtId="0" fontId="0" fillId="12" borderId="122" xfId="0" applyFill="1" applyBorder="1" applyAlignment="1">
      <alignment horizontal="center"/>
    </xf>
    <xf numFmtId="165" fontId="0" fillId="12" borderId="127" xfId="1" applyNumberFormat="1" applyFont="1" applyFill="1" applyBorder="1" applyAlignment="1">
      <alignment horizontal="center"/>
    </xf>
    <xf numFmtId="0" fontId="0" fillId="5" borderId="90" xfId="0" applyFill="1" applyBorder="1" applyAlignment="1">
      <alignment horizontal="center" vertical="center"/>
    </xf>
    <xf numFmtId="0" fontId="0" fillId="5" borderId="93" xfId="0" applyFill="1" applyBorder="1" applyAlignment="1">
      <alignment horizontal="center" vertical="center"/>
    </xf>
    <xf numFmtId="0" fontId="0" fillId="5" borderId="94" xfId="0" applyFill="1" applyBorder="1" applyAlignment="1">
      <alignment horizontal="center" vertical="center"/>
    </xf>
    <xf numFmtId="0" fontId="0" fillId="5" borderId="93" xfId="0" applyFill="1" applyBorder="1" applyAlignment="1">
      <alignment horizontal="center"/>
    </xf>
    <xf numFmtId="0" fontId="0" fillId="5" borderId="94" xfId="0" applyFill="1" applyBorder="1" applyAlignment="1">
      <alignment horizontal="center"/>
    </xf>
    <xf numFmtId="0" fontId="0" fillId="5" borderId="103" xfId="0" applyFill="1" applyBorder="1" applyAlignment="1">
      <alignment horizontal="center" vertical="center"/>
    </xf>
    <xf numFmtId="0" fontId="0" fillId="5" borderId="95" xfId="0" applyFill="1" applyBorder="1" applyAlignment="1">
      <alignment horizontal="center" vertical="center"/>
    </xf>
    <xf numFmtId="0" fontId="0" fillId="5" borderId="96" xfId="0" applyFill="1" applyBorder="1" applyAlignment="1">
      <alignment horizontal="center" vertical="center"/>
    </xf>
    <xf numFmtId="0" fontId="0" fillId="5" borderId="91" xfId="0" applyFill="1" applyBorder="1" applyAlignment="1">
      <alignment horizontal="center" vertical="center"/>
    </xf>
    <xf numFmtId="0" fontId="0" fillId="5" borderId="92" xfId="0" applyFill="1" applyBorder="1" applyAlignment="1">
      <alignment horizontal="center" vertical="center"/>
    </xf>
    <xf numFmtId="0" fontId="0" fillId="5" borderId="97" xfId="0" applyFill="1" applyBorder="1" applyAlignment="1">
      <alignment horizontal="center" vertical="center"/>
    </xf>
    <xf numFmtId="0" fontId="0" fillId="5" borderId="98" xfId="0" applyFill="1" applyBorder="1" applyAlignment="1">
      <alignment horizontal="center" vertical="center"/>
    </xf>
    <xf numFmtId="0" fontId="21" fillId="0" borderId="0" xfId="0" applyFont="1"/>
    <xf numFmtId="2" fontId="0" fillId="5" borderId="69" xfId="0" applyNumberFormat="1" applyFill="1" applyBorder="1" applyAlignment="1">
      <alignment horizontal="center"/>
    </xf>
    <xf numFmtId="2" fontId="0" fillId="5" borderId="74" xfId="0" applyNumberFormat="1" applyFill="1" applyBorder="1" applyAlignment="1">
      <alignment horizontal="center"/>
    </xf>
    <xf numFmtId="2" fontId="0" fillId="4" borderId="69" xfId="0" applyNumberFormat="1" applyFill="1" applyBorder="1" applyAlignment="1">
      <alignment horizontal="center"/>
    </xf>
    <xf numFmtId="2" fontId="0" fillId="4" borderId="67" xfId="0" applyNumberFormat="1" applyFill="1" applyBorder="1" applyAlignment="1">
      <alignment horizontal="center"/>
    </xf>
    <xf numFmtId="2" fontId="0" fillId="4" borderId="74" xfId="0" applyNumberFormat="1" applyFill="1" applyBorder="1" applyAlignment="1">
      <alignment horizontal="center"/>
    </xf>
    <xf numFmtId="2" fontId="0" fillId="2" borderId="67" xfId="0" applyNumberFormat="1" applyFill="1" applyBorder="1" applyAlignment="1">
      <alignment horizontal="center"/>
    </xf>
    <xf numFmtId="2" fontId="0" fillId="2" borderId="74" xfId="0" applyNumberFormat="1" applyFill="1" applyBorder="1" applyAlignment="1">
      <alignment horizontal="center"/>
    </xf>
    <xf numFmtId="10" fontId="0" fillId="4" borderId="70" xfId="1" applyNumberFormat="1" applyFont="1" applyFill="1" applyBorder="1" applyAlignment="1">
      <alignment horizontal="center"/>
    </xf>
    <xf numFmtId="10" fontId="0" fillId="4" borderId="72" xfId="1" applyNumberFormat="1" applyFont="1" applyFill="1" applyBorder="1" applyAlignment="1">
      <alignment horizontal="center"/>
    </xf>
    <xf numFmtId="10" fontId="0" fillId="4" borderId="75" xfId="1" applyNumberFormat="1" applyFont="1" applyFill="1" applyBorder="1" applyAlignment="1">
      <alignment horizontal="center"/>
    </xf>
    <xf numFmtId="167" fontId="0" fillId="4" borderId="72" xfId="1" applyNumberFormat="1" applyFont="1" applyFill="1" applyBorder="1" applyAlignment="1">
      <alignment horizontal="center"/>
    </xf>
    <xf numFmtId="10" fontId="0" fillId="5" borderId="70" xfId="1" applyNumberFormat="1" applyFont="1" applyFill="1" applyBorder="1" applyAlignment="1">
      <alignment horizontal="center"/>
    </xf>
    <xf numFmtId="10" fontId="0" fillId="5" borderId="72" xfId="1" applyNumberFormat="1" applyFont="1" applyFill="1" applyBorder="1" applyAlignment="1">
      <alignment horizontal="center"/>
    </xf>
    <xf numFmtId="10" fontId="0" fillId="5" borderId="75" xfId="1" applyNumberFormat="1" applyFont="1" applyFill="1" applyBorder="1" applyAlignment="1">
      <alignment horizontal="center"/>
    </xf>
    <xf numFmtId="10" fontId="0" fillId="12" borderId="70" xfId="1" applyNumberFormat="1" applyFont="1" applyFill="1" applyBorder="1" applyAlignment="1">
      <alignment horizontal="center"/>
    </xf>
    <xf numFmtId="10" fontId="0" fillId="12" borderId="72" xfId="1" applyNumberFormat="1" applyFont="1" applyFill="1" applyBorder="1" applyAlignment="1">
      <alignment horizontal="center"/>
    </xf>
    <xf numFmtId="10" fontId="0" fillId="12" borderId="75" xfId="1" applyNumberFormat="1" applyFont="1" applyFill="1" applyBorder="1" applyAlignment="1">
      <alignment horizontal="center"/>
    </xf>
    <xf numFmtId="10" fontId="0" fillId="2" borderId="72" xfId="1" applyNumberFormat="1" applyFont="1" applyFill="1" applyBorder="1" applyAlignment="1">
      <alignment horizontal="center"/>
    </xf>
    <xf numFmtId="10" fontId="0" fillId="2" borderId="75" xfId="1" applyNumberFormat="1" applyFont="1" applyFill="1" applyBorder="1" applyAlignment="1">
      <alignment horizontal="center"/>
    </xf>
    <xf numFmtId="0" fontId="6" fillId="2" borderId="211" xfId="0" applyFont="1" applyFill="1" applyBorder="1" applyAlignment="1">
      <alignment horizontal="center" vertical="center"/>
    </xf>
    <xf numFmtId="0" fontId="6" fillId="13" borderId="212" xfId="0" applyFont="1" applyFill="1" applyBorder="1" applyAlignment="1">
      <alignment horizontal="center" vertical="center"/>
    </xf>
    <xf numFmtId="0" fontId="6" fillId="4" borderId="212" xfId="0" applyFont="1" applyFill="1" applyBorder="1" applyAlignment="1">
      <alignment horizontal="center" vertical="center"/>
    </xf>
    <xf numFmtId="0" fontId="6" fillId="12" borderId="311" xfId="0" applyFont="1" applyFill="1" applyBorder="1" applyAlignment="1">
      <alignment horizontal="center" vertical="center"/>
    </xf>
    <xf numFmtId="4" fontId="0" fillId="2" borderId="67" xfId="0" applyNumberFormat="1" applyFill="1" applyBorder="1" applyAlignment="1">
      <alignment horizontal="center"/>
    </xf>
    <xf numFmtId="165" fontId="0" fillId="0" borderId="0" xfId="1" applyNumberFormat="1" applyFont="1"/>
    <xf numFmtId="0" fontId="19" fillId="14" borderId="152" xfId="0" applyFont="1" applyFill="1" applyBorder="1" applyAlignment="1">
      <alignment vertical="center"/>
    </xf>
    <xf numFmtId="0" fontId="25" fillId="2" borderId="312" xfId="0" applyFont="1" applyFill="1" applyBorder="1" applyAlignment="1">
      <alignment horizontal="right"/>
    </xf>
    <xf numFmtId="3" fontId="25" fillId="5" borderId="312" xfId="0" applyNumberFormat="1" applyFont="1" applyFill="1" applyBorder="1" applyAlignment="1">
      <alignment horizontal="right"/>
    </xf>
    <xf numFmtId="3" fontId="25" fillId="4" borderId="312" xfId="0" applyNumberFormat="1" applyFont="1" applyFill="1" applyBorder="1" applyAlignment="1">
      <alignment horizontal="right"/>
    </xf>
    <xf numFmtId="3" fontId="25" fillId="12" borderId="312" xfId="0" applyNumberFormat="1" applyFont="1" applyFill="1" applyBorder="1" applyAlignment="1">
      <alignment horizontal="right"/>
    </xf>
    <xf numFmtId="1" fontId="0" fillId="12" borderId="313" xfId="0" applyNumberFormat="1" applyFill="1" applyBorder="1" applyAlignment="1">
      <alignment horizontal="center" vertical="center"/>
    </xf>
    <xf numFmtId="0" fontId="0" fillId="3" borderId="314" xfId="0" quotePrefix="1" applyFill="1" applyBorder="1" applyAlignment="1">
      <alignment horizontal="center" vertical="center"/>
    </xf>
    <xf numFmtId="0" fontId="0" fillId="12" borderId="315" xfId="0" applyFill="1" applyBorder="1" applyAlignment="1">
      <alignment horizontal="center" vertical="center"/>
    </xf>
    <xf numFmtId="0" fontId="0" fillId="12" borderId="316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textRotation="90"/>
    </xf>
    <xf numFmtId="1" fontId="0" fillId="12" borderId="320" xfId="0" applyNumberFormat="1" applyFill="1" applyBorder="1" applyAlignment="1">
      <alignment horizontal="center" vertical="center"/>
    </xf>
    <xf numFmtId="1" fontId="0" fillId="12" borderId="321" xfId="0" applyNumberFormat="1" applyFill="1" applyBorder="1" applyAlignment="1">
      <alignment horizontal="center" vertical="center"/>
    </xf>
    <xf numFmtId="166" fontId="0" fillId="12" borderId="321" xfId="0" applyNumberFormat="1" applyFill="1" applyBorder="1" applyAlignment="1">
      <alignment horizontal="center" vertical="center"/>
    </xf>
    <xf numFmtId="0" fontId="0" fillId="4" borderId="322" xfId="0" applyFill="1" applyBorder="1" applyAlignment="1">
      <alignment horizontal="center" vertical="center"/>
    </xf>
    <xf numFmtId="4" fontId="0" fillId="2" borderId="74" xfId="0" applyNumberFormat="1" applyFill="1" applyBorder="1" applyAlignment="1">
      <alignment horizontal="center"/>
    </xf>
    <xf numFmtId="167" fontId="0" fillId="2" borderId="72" xfId="1" applyNumberFormat="1" applyFont="1" applyFill="1" applyBorder="1" applyAlignment="1">
      <alignment horizontal="center"/>
    </xf>
    <xf numFmtId="0" fontId="5" fillId="2" borderId="306" xfId="0" applyFont="1" applyFill="1" applyBorder="1" applyAlignment="1">
      <alignment horizontal="center" vertical="center"/>
    </xf>
    <xf numFmtId="0" fontId="5" fillId="2" borderId="225" xfId="0" applyFont="1" applyFill="1" applyBorder="1" applyAlignment="1">
      <alignment horizontal="center" vertical="center"/>
    </xf>
    <xf numFmtId="0" fontId="5" fillId="2" borderId="226" xfId="0" applyFont="1" applyFill="1" applyBorder="1" applyAlignment="1">
      <alignment horizontal="center" vertical="center"/>
    </xf>
    <xf numFmtId="0" fontId="5" fillId="5" borderId="307" xfId="0" applyFont="1" applyFill="1" applyBorder="1" applyAlignment="1">
      <alignment horizontal="center" vertical="center"/>
    </xf>
    <xf numFmtId="0" fontId="5" fillId="5" borderId="145" xfId="0" applyFont="1" applyFill="1" applyBorder="1" applyAlignment="1">
      <alignment horizontal="center" vertical="center"/>
    </xf>
    <xf numFmtId="0" fontId="5" fillId="5" borderId="227" xfId="0" applyFont="1" applyFill="1" applyBorder="1" applyAlignment="1">
      <alignment horizontal="center" vertical="center"/>
    </xf>
    <xf numFmtId="0" fontId="5" fillId="4" borderId="307" xfId="0" applyFont="1" applyFill="1" applyBorder="1" applyAlignment="1">
      <alignment horizontal="center" vertical="center"/>
    </xf>
    <xf numFmtId="0" fontId="5" fillId="4" borderId="145" xfId="0" applyFont="1" applyFill="1" applyBorder="1" applyAlignment="1">
      <alignment horizontal="center" vertical="center"/>
    </xf>
    <xf numFmtId="0" fontId="5" fillId="4" borderId="227" xfId="0" applyFont="1" applyFill="1" applyBorder="1" applyAlignment="1">
      <alignment horizontal="center" vertical="center"/>
    </xf>
    <xf numFmtId="0" fontId="5" fillId="12" borderId="308" xfId="0" applyFont="1" applyFill="1" applyBorder="1" applyAlignment="1">
      <alignment horizontal="center" vertical="center"/>
    </xf>
    <xf numFmtId="0" fontId="5" fillId="12" borderId="229" xfId="0" applyFont="1" applyFill="1" applyBorder="1" applyAlignment="1">
      <alignment horizontal="center" vertical="center"/>
    </xf>
    <xf numFmtId="0" fontId="5" fillId="12" borderId="230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0" fillId="12" borderId="82" xfId="0" applyFill="1" applyBorder="1" applyAlignment="1">
      <alignment horizontal="center"/>
    </xf>
    <xf numFmtId="0" fontId="0" fillId="12" borderId="83" xfId="0" applyFill="1" applyBorder="1" applyAlignment="1">
      <alignment horizontal="center"/>
    </xf>
    <xf numFmtId="0" fontId="0" fillId="12" borderId="84" xfId="0" applyFill="1" applyBorder="1" applyAlignment="1">
      <alignment horizontal="center"/>
    </xf>
    <xf numFmtId="0" fontId="0" fillId="12" borderId="79" xfId="0" applyFill="1" applyBorder="1" applyAlignment="1">
      <alignment horizontal="center"/>
    </xf>
    <xf numFmtId="0" fontId="0" fillId="12" borderId="80" xfId="0" applyFill="1" applyBorder="1" applyAlignment="1">
      <alignment horizontal="center"/>
    </xf>
    <xf numFmtId="0" fontId="0" fillId="12" borderId="81" xfId="0" applyFill="1" applyBorder="1" applyAlignment="1">
      <alignment horizontal="center"/>
    </xf>
    <xf numFmtId="0" fontId="0" fillId="12" borderId="123" xfId="0" applyFill="1" applyBorder="1" applyAlignment="1">
      <alignment horizontal="center"/>
    </xf>
    <xf numFmtId="0" fontId="0" fillId="12" borderId="124" xfId="0" applyFill="1" applyBorder="1" applyAlignment="1">
      <alignment horizontal="center"/>
    </xf>
    <xf numFmtId="0" fontId="0" fillId="12" borderId="125" xfId="0" applyFill="1" applyBorder="1" applyAlignment="1">
      <alignment horizontal="center"/>
    </xf>
    <xf numFmtId="1" fontId="12" fillId="9" borderId="290" xfId="0" applyNumberFormat="1" applyFont="1" applyFill="1" applyBorder="1" applyAlignment="1">
      <alignment horizontal="center" vertical="center"/>
    </xf>
    <xf numFmtId="1" fontId="12" fillId="9" borderId="291" xfId="0" applyNumberFormat="1" applyFont="1" applyFill="1" applyBorder="1" applyAlignment="1">
      <alignment horizontal="center" vertical="center"/>
    </xf>
    <xf numFmtId="1" fontId="12" fillId="9" borderId="292" xfId="0" applyNumberFormat="1" applyFont="1" applyFill="1" applyBorder="1" applyAlignment="1">
      <alignment horizontal="center" vertical="center"/>
    </xf>
    <xf numFmtId="165" fontId="1" fillId="9" borderId="304" xfId="1" applyNumberFormat="1" applyFont="1" applyFill="1" applyBorder="1" applyAlignment="1">
      <alignment horizontal="center" vertical="center"/>
    </xf>
    <xf numFmtId="165" fontId="1" fillId="9" borderId="209" xfId="1" applyNumberFormat="1" applyFont="1" applyFill="1" applyBorder="1" applyAlignment="1">
      <alignment horizontal="center" vertical="center"/>
    </xf>
    <xf numFmtId="165" fontId="1" fillId="9" borderId="223" xfId="1" applyNumberFormat="1" applyFont="1" applyFill="1" applyBorder="1" applyAlignment="1">
      <alignment horizontal="center" vertical="center"/>
    </xf>
    <xf numFmtId="0" fontId="5" fillId="12" borderId="228" xfId="0" applyFont="1" applyFill="1" applyBorder="1" applyAlignment="1">
      <alignment horizontal="center" vertical="center"/>
    </xf>
    <xf numFmtId="0" fontId="5" fillId="2" borderId="224" xfId="0" applyFont="1" applyFill="1" applyBorder="1" applyAlignment="1">
      <alignment horizontal="center" vertical="center"/>
    </xf>
    <xf numFmtId="0" fontId="5" fillId="5" borderId="144" xfId="0" applyFont="1" applyFill="1" applyBorder="1" applyAlignment="1">
      <alignment horizontal="center" vertical="center"/>
    </xf>
    <xf numFmtId="0" fontId="5" fillId="4" borderId="144" xfId="0" applyFont="1" applyFill="1" applyBorder="1" applyAlignment="1">
      <alignment horizontal="center" vertical="center"/>
    </xf>
    <xf numFmtId="0" fontId="13" fillId="9" borderId="213" xfId="0" applyFont="1" applyFill="1" applyBorder="1" applyAlignment="1">
      <alignment horizontal="center" vertical="center"/>
    </xf>
    <xf numFmtId="1" fontId="12" fillId="9" borderId="293" xfId="0" applyNumberFormat="1" applyFont="1" applyFill="1" applyBorder="1" applyAlignment="1">
      <alignment horizontal="center" vertical="center"/>
    </xf>
    <xf numFmtId="1" fontId="12" fillId="9" borderId="33" xfId="0" applyNumberFormat="1" applyFont="1" applyFill="1" applyBorder="1" applyAlignment="1">
      <alignment horizontal="center" vertical="center"/>
    </xf>
    <xf numFmtId="165" fontId="1" fillId="9" borderId="303" xfId="1" applyNumberFormat="1" applyFont="1" applyFill="1" applyBorder="1" applyAlignment="1">
      <alignment horizontal="center" vertical="center"/>
    </xf>
    <xf numFmtId="165" fontId="1" fillId="9" borderId="33" xfId="1" applyNumberFormat="1" applyFont="1" applyFill="1" applyBorder="1" applyAlignment="1">
      <alignment horizontal="center" vertical="center"/>
    </xf>
    <xf numFmtId="1" fontId="0" fillId="6" borderId="290" xfId="0" applyNumberFormat="1" applyFill="1" applyBorder="1" applyAlignment="1">
      <alignment horizontal="center"/>
    </xf>
    <xf numFmtId="1" fontId="0" fillId="6" borderId="291" xfId="0" applyNumberFormat="1" applyFill="1" applyBorder="1" applyAlignment="1">
      <alignment horizontal="center"/>
    </xf>
    <xf numFmtId="1" fontId="0" fillId="6" borderId="292" xfId="0" applyNumberFormat="1" applyFill="1" applyBorder="1" applyAlignment="1">
      <alignment horizontal="center"/>
    </xf>
    <xf numFmtId="0" fontId="11" fillId="10" borderId="147" xfId="0" applyFont="1" applyFill="1" applyBorder="1" applyAlignment="1">
      <alignment horizontal="left" vertical="center"/>
    </xf>
    <xf numFmtId="0" fontId="11" fillId="10" borderId="148" xfId="0" applyFont="1" applyFill="1" applyBorder="1" applyAlignment="1">
      <alignment horizontal="left" vertical="center"/>
    </xf>
    <xf numFmtId="0" fontId="11" fillId="10" borderId="149" xfId="0" applyFont="1" applyFill="1" applyBorder="1" applyAlignment="1">
      <alignment horizontal="left" vertical="center"/>
    </xf>
    <xf numFmtId="0" fontId="6" fillId="10" borderId="147" xfId="0" applyFont="1" applyFill="1" applyBorder="1" applyAlignment="1">
      <alignment horizontal="left" vertical="center"/>
    </xf>
    <xf numFmtId="0" fontId="6" fillId="10" borderId="148" xfId="0" applyFont="1" applyFill="1" applyBorder="1" applyAlignment="1">
      <alignment horizontal="left" vertical="center"/>
    </xf>
    <xf numFmtId="0" fontId="6" fillId="10" borderId="149" xfId="0" applyFont="1" applyFill="1" applyBorder="1" applyAlignment="1">
      <alignment horizontal="left" vertical="center"/>
    </xf>
    <xf numFmtId="1" fontId="12" fillId="9" borderId="305" xfId="0" applyNumberFormat="1" applyFont="1" applyFill="1" applyBorder="1" applyAlignment="1">
      <alignment horizontal="center" vertical="center"/>
    </xf>
    <xf numFmtId="0" fontId="2" fillId="6" borderId="289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5" fillId="2" borderId="28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5" borderId="286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4" borderId="287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12" borderId="288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11" fillId="10" borderId="118" xfId="0" applyFont="1" applyFill="1" applyBorder="1" applyAlignment="1">
      <alignment horizontal="center" vertical="center"/>
    </xf>
    <xf numFmtId="0" fontId="11" fillId="10" borderId="119" xfId="0" applyFont="1" applyFill="1" applyBorder="1" applyAlignment="1">
      <alignment horizontal="center" vertical="center"/>
    </xf>
    <xf numFmtId="0" fontId="11" fillId="10" borderId="120" xfId="0" applyFont="1" applyFill="1" applyBorder="1" applyAlignment="1">
      <alignment horizontal="center" vertical="center"/>
    </xf>
    <xf numFmtId="0" fontId="0" fillId="4" borderId="79" xfId="0" applyFill="1" applyBorder="1" applyAlignment="1">
      <alignment horizontal="center"/>
    </xf>
    <xf numFmtId="0" fontId="0" fillId="4" borderId="80" xfId="0" applyFill="1" applyBorder="1" applyAlignment="1">
      <alignment horizontal="center"/>
    </xf>
    <xf numFmtId="0" fontId="0" fillId="4" borderId="81" xfId="0" applyFill="1" applyBorder="1" applyAlignment="1">
      <alignment horizontal="center"/>
    </xf>
    <xf numFmtId="0" fontId="18" fillId="4" borderId="231" xfId="0" applyFont="1" applyFill="1" applyBorder="1" applyAlignment="1">
      <alignment horizontal="center" vertical="center"/>
    </xf>
    <xf numFmtId="0" fontId="18" fillId="4" borderId="119" xfId="0" applyFont="1" applyFill="1" applyBorder="1" applyAlignment="1">
      <alignment horizontal="center" vertical="center"/>
    </xf>
    <xf numFmtId="0" fontId="18" fillId="4" borderId="232" xfId="0" applyFont="1" applyFill="1" applyBorder="1" applyAlignment="1">
      <alignment horizontal="center" vertical="center"/>
    </xf>
    <xf numFmtId="0" fontId="18" fillId="12" borderId="231" xfId="0" applyFont="1" applyFill="1" applyBorder="1" applyAlignment="1">
      <alignment horizontal="center" vertical="center"/>
    </xf>
    <xf numFmtId="0" fontId="18" fillId="12" borderId="119" xfId="0" applyFont="1" applyFill="1" applyBorder="1" applyAlignment="1">
      <alignment horizontal="center" vertical="center"/>
    </xf>
    <xf numFmtId="0" fontId="18" fillId="12" borderId="232" xfId="0" applyFont="1" applyFill="1" applyBorder="1" applyAlignment="1">
      <alignment horizontal="center" vertical="center"/>
    </xf>
    <xf numFmtId="0" fontId="0" fillId="12" borderId="76" xfId="0" applyFill="1" applyBorder="1" applyAlignment="1">
      <alignment horizontal="center"/>
    </xf>
    <xf numFmtId="0" fontId="0" fillId="12" borderId="77" xfId="0" applyFill="1" applyBorder="1" applyAlignment="1">
      <alignment horizontal="center"/>
    </xf>
    <xf numFmtId="0" fontId="0" fillId="12" borderId="78" xfId="0" applyFill="1" applyBorder="1" applyAlignment="1">
      <alignment horizontal="center"/>
    </xf>
    <xf numFmtId="0" fontId="4" fillId="0" borderId="166" xfId="0" applyFont="1" applyBorder="1" applyAlignment="1">
      <alignment horizontal="center" vertical="center" textRotation="90"/>
    </xf>
    <xf numFmtId="0" fontId="4" fillId="0" borderId="167" xfId="0" applyFont="1" applyBorder="1" applyAlignment="1">
      <alignment horizontal="center" vertical="center" textRotation="90"/>
    </xf>
    <xf numFmtId="0" fontId="0" fillId="12" borderId="88" xfId="0" applyFill="1" applyBorder="1" applyAlignment="1">
      <alignment horizontal="center" vertical="center" textRotation="90" wrapText="1"/>
    </xf>
    <xf numFmtId="0" fontId="0" fillId="12" borderId="86" xfId="0" applyFill="1" applyBorder="1" applyAlignment="1">
      <alignment horizontal="center" vertical="center" textRotation="90" wrapText="1"/>
    </xf>
    <xf numFmtId="0" fontId="0" fillId="12" borderId="87" xfId="0" applyFill="1" applyBorder="1" applyAlignment="1">
      <alignment horizontal="center" vertical="center" textRotation="90" wrapText="1"/>
    </xf>
    <xf numFmtId="0" fontId="0" fillId="12" borderId="89" xfId="0" applyFill="1" applyBorder="1" applyAlignment="1">
      <alignment horizontal="center" vertical="center" textRotation="90" wrapText="1"/>
    </xf>
    <xf numFmtId="0" fontId="23" fillId="10" borderId="24" xfId="0" applyFont="1" applyFill="1" applyBorder="1" applyAlignment="1">
      <alignment horizontal="center" vertical="center"/>
    </xf>
    <xf numFmtId="0" fontId="23" fillId="10" borderId="25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horizontal="center" vertical="center"/>
    </xf>
    <xf numFmtId="0" fontId="0" fillId="12" borderId="237" xfId="0" applyFill="1" applyBorder="1" applyAlignment="1">
      <alignment horizontal="left"/>
    </xf>
    <xf numFmtId="0" fontId="0" fillId="12" borderId="163" xfId="0" applyFill="1" applyBorder="1" applyAlignment="1">
      <alignment horizontal="left"/>
    </xf>
    <xf numFmtId="0" fontId="6" fillId="0" borderId="135" xfId="0" applyFont="1" applyBorder="1" applyAlignment="1">
      <alignment horizontal="left" vertical="center"/>
    </xf>
    <xf numFmtId="0" fontId="6" fillId="0" borderId="136" xfId="0" applyFont="1" applyBorder="1" applyAlignment="1">
      <alignment horizontal="left" vertical="center"/>
    </xf>
    <xf numFmtId="0" fontId="6" fillId="0" borderId="137" xfId="0" applyFont="1" applyBorder="1" applyAlignment="1">
      <alignment horizontal="left" vertical="center"/>
    </xf>
    <xf numFmtId="0" fontId="18" fillId="2" borderId="118" xfId="0" applyFont="1" applyFill="1" applyBorder="1" applyAlignment="1">
      <alignment horizontal="center" vertical="center"/>
    </xf>
    <xf numFmtId="0" fontId="18" fillId="2" borderId="119" xfId="0" applyFont="1" applyFill="1" applyBorder="1" applyAlignment="1">
      <alignment horizontal="center" vertical="center"/>
    </xf>
    <xf numFmtId="0" fontId="18" fillId="2" borderId="120" xfId="0" applyFont="1" applyFill="1" applyBorder="1" applyAlignment="1">
      <alignment horizontal="center" vertical="center"/>
    </xf>
    <xf numFmtId="0" fontId="0" fillId="13" borderId="108" xfId="0" applyFill="1" applyBorder="1" applyAlignment="1">
      <alignment horizontal="center" vertical="center"/>
    </xf>
    <xf numFmtId="0" fontId="0" fillId="13" borderId="109" xfId="0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/>
    </xf>
    <xf numFmtId="0" fontId="4" fillId="14" borderId="25" xfId="0" applyFont="1" applyFill="1" applyBorder="1" applyAlignment="1">
      <alignment horizontal="center" vertical="center"/>
    </xf>
    <xf numFmtId="0" fontId="2" fillId="6" borderId="213" xfId="0" applyFont="1" applyFill="1" applyBorder="1" applyAlignment="1">
      <alignment horizontal="center" vertical="center"/>
    </xf>
    <xf numFmtId="0" fontId="0" fillId="2" borderId="82" xfId="0" applyFill="1" applyBorder="1" applyAlignment="1">
      <alignment horizontal="center"/>
    </xf>
    <xf numFmtId="0" fontId="0" fillId="2" borderId="83" xfId="0" applyFill="1" applyBorder="1" applyAlignment="1">
      <alignment horizontal="center"/>
    </xf>
    <xf numFmtId="0" fontId="0" fillId="2" borderId="84" xfId="0" applyFill="1" applyBorder="1" applyAlignment="1">
      <alignment horizontal="center"/>
    </xf>
    <xf numFmtId="0" fontId="0" fillId="2" borderId="79" xfId="0" applyFill="1" applyBorder="1" applyAlignment="1">
      <alignment horizontal="center"/>
    </xf>
    <xf numFmtId="0" fontId="0" fillId="2" borderId="80" xfId="0" applyFill="1" applyBorder="1" applyAlignment="1">
      <alignment horizontal="center"/>
    </xf>
    <xf numFmtId="0" fontId="0" fillId="2" borderId="81" xfId="0" applyFill="1" applyBorder="1" applyAlignment="1">
      <alignment horizontal="center"/>
    </xf>
    <xf numFmtId="0" fontId="18" fillId="5" borderId="231" xfId="0" applyFont="1" applyFill="1" applyBorder="1" applyAlignment="1">
      <alignment horizontal="center" vertical="center"/>
    </xf>
    <xf numFmtId="0" fontId="18" fillId="5" borderId="119" xfId="0" applyFont="1" applyFill="1" applyBorder="1" applyAlignment="1">
      <alignment horizontal="center" vertical="center"/>
    </xf>
    <xf numFmtId="0" fontId="18" fillId="5" borderId="232" xfId="0" applyFont="1" applyFill="1" applyBorder="1" applyAlignment="1">
      <alignment horizontal="center" vertical="center"/>
    </xf>
    <xf numFmtId="0" fontId="0" fillId="5" borderId="76" xfId="0" applyFill="1" applyBorder="1" applyAlignment="1">
      <alignment horizontal="center"/>
    </xf>
    <xf numFmtId="0" fontId="0" fillId="5" borderId="77" xfId="0" applyFill="1" applyBorder="1" applyAlignment="1">
      <alignment horizontal="center"/>
    </xf>
    <xf numFmtId="0" fontId="0" fillId="5" borderId="78" xfId="0" applyFill="1" applyBorder="1" applyAlignment="1">
      <alignment horizontal="center"/>
    </xf>
    <xf numFmtId="0" fontId="0" fillId="5" borderId="82" xfId="0" applyFill="1" applyBorder="1" applyAlignment="1">
      <alignment horizontal="center"/>
    </xf>
    <xf numFmtId="0" fontId="0" fillId="5" borderId="83" xfId="0" applyFill="1" applyBorder="1" applyAlignment="1">
      <alignment horizontal="center"/>
    </xf>
    <xf numFmtId="0" fontId="0" fillId="5" borderId="84" xfId="0" applyFill="1" applyBorder="1" applyAlignment="1">
      <alignment horizontal="center"/>
    </xf>
    <xf numFmtId="0" fontId="0" fillId="4" borderId="76" xfId="0" applyFill="1" applyBorder="1" applyAlignment="1">
      <alignment horizontal="center"/>
    </xf>
    <xf numFmtId="0" fontId="0" fillId="4" borderId="77" xfId="0" applyFill="1" applyBorder="1" applyAlignment="1">
      <alignment horizontal="center"/>
    </xf>
    <xf numFmtId="0" fontId="0" fillId="4" borderId="78" xfId="0" applyFill="1" applyBorder="1" applyAlignment="1">
      <alignment horizontal="center"/>
    </xf>
    <xf numFmtId="0" fontId="0" fillId="4" borderId="82" xfId="0" applyFill="1" applyBorder="1" applyAlignment="1">
      <alignment horizontal="center"/>
    </xf>
    <xf numFmtId="0" fontId="0" fillId="4" borderId="83" xfId="0" applyFill="1" applyBorder="1" applyAlignment="1">
      <alignment horizontal="center"/>
    </xf>
    <xf numFmtId="0" fontId="0" fillId="4" borderId="84" xfId="0" applyFill="1" applyBorder="1" applyAlignment="1">
      <alignment horizontal="center"/>
    </xf>
    <xf numFmtId="0" fontId="6" fillId="12" borderId="156" xfId="0" applyFont="1" applyFill="1" applyBorder="1" applyAlignment="1">
      <alignment horizontal="left" vertical="center"/>
    </xf>
    <xf numFmtId="0" fontId="6" fillId="12" borderId="157" xfId="0" applyFont="1" applyFill="1" applyBorder="1" applyAlignment="1">
      <alignment horizontal="left" vertical="center"/>
    </xf>
    <xf numFmtId="0" fontId="6" fillId="12" borderId="158" xfId="0" applyFont="1" applyFill="1" applyBorder="1" applyAlignment="1">
      <alignment horizontal="left" vertical="center"/>
    </xf>
    <xf numFmtId="0" fontId="18" fillId="12" borderId="115" xfId="0" applyFont="1" applyFill="1" applyBorder="1" applyAlignment="1">
      <alignment horizontal="center" vertical="center"/>
    </xf>
    <xf numFmtId="0" fontId="18" fillId="12" borderId="116" xfId="0" applyFont="1" applyFill="1" applyBorder="1" applyAlignment="1">
      <alignment horizontal="center" vertical="center"/>
    </xf>
    <xf numFmtId="0" fontId="18" fillId="12" borderId="117" xfId="0" applyFont="1" applyFill="1" applyBorder="1" applyAlignment="1">
      <alignment horizontal="center" vertical="center"/>
    </xf>
    <xf numFmtId="2" fontId="1" fillId="6" borderId="222" xfId="0" applyNumberFormat="1" applyFont="1" applyFill="1" applyBorder="1" applyAlignment="1">
      <alignment horizontal="center" vertical="center"/>
    </xf>
    <xf numFmtId="2" fontId="1" fillId="6" borderId="209" xfId="0" applyNumberFormat="1" applyFont="1" applyFill="1" applyBorder="1" applyAlignment="1">
      <alignment horizontal="center" vertical="center"/>
    </xf>
    <xf numFmtId="2" fontId="1" fillId="6" borderId="223" xfId="0" applyNumberFormat="1" applyFont="1" applyFill="1" applyBorder="1" applyAlignment="1">
      <alignment horizontal="center" vertical="center"/>
    </xf>
    <xf numFmtId="10" fontId="1" fillId="6" borderId="222" xfId="1" applyNumberFormat="1" applyFont="1" applyFill="1" applyBorder="1" applyAlignment="1">
      <alignment horizontal="center" vertical="center"/>
    </xf>
    <xf numFmtId="10" fontId="1" fillId="6" borderId="209" xfId="1" applyNumberFormat="1" applyFont="1" applyFill="1" applyBorder="1" applyAlignment="1">
      <alignment horizontal="center" vertical="center"/>
    </xf>
    <xf numFmtId="10" fontId="1" fillId="6" borderId="223" xfId="1" applyNumberFormat="1" applyFont="1" applyFill="1" applyBorder="1" applyAlignment="1">
      <alignment horizontal="center" vertical="center"/>
    </xf>
    <xf numFmtId="0" fontId="6" fillId="13" borderId="64" xfId="0" applyFont="1" applyFill="1" applyBorder="1" applyAlignment="1">
      <alignment horizontal="left" vertical="center"/>
    </xf>
    <xf numFmtId="0" fontId="6" fillId="13" borderId="65" xfId="0" applyFont="1" applyFill="1" applyBorder="1" applyAlignment="1">
      <alignment horizontal="left" vertical="center"/>
    </xf>
    <xf numFmtId="0" fontId="6" fillId="13" borderId="66" xfId="0" applyFont="1" applyFill="1" applyBorder="1" applyAlignment="1">
      <alignment horizontal="left" vertical="center"/>
    </xf>
    <xf numFmtId="0" fontId="6" fillId="4" borderId="64" xfId="0" applyFont="1" applyFill="1" applyBorder="1" applyAlignment="1">
      <alignment horizontal="left" vertical="center"/>
    </xf>
    <xf numFmtId="0" fontId="6" fillId="4" borderId="65" xfId="0" applyFont="1" applyFill="1" applyBorder="1" applyAlignment="1">
      <alignment horizontal="left" vertical="center"/>
    </xf>
    <xf numFmtId="0" fontId="6" fillId="4" borderId="66" xfId="0" applyFont="1" applyFill="1" applyBorder="1" applyAlignment="1">
      <alignment horizontal="left" vertical="center"/>
    </xf>
    <xf numFmtId="0" fontId="7" fillId="14" borderId="24" xfId="0" applyFont="1" applyFill="1" applyBorder="1" applyAlignment="1">
      <alignment horizontal="left" vertical="center" wrapText="1"/>
    </xf>
    <xf numFmtId="0" fontId="7" fillId="14" borderId="25" xfId="0" applyFont="1" applyFill="1" applyBorder="1" applyAlignment="1">
      <alignment horizontal="left" vertical="center" wrapText="1"/>
    </xf>
    <xf numFmtId="0" fontId="7" fillId="14" borderId="26" xfId="0" applyFont="1" applyFill="1" applyBorder="1" applyAlignment="1">
      <alignment horizontal="left" vertical="center" wrapText="1"/>
    </xf>
    <xf numFmtId="0" fontId="11" fillId="10" borderId="141" xfId="0" applyFont="1" applyFill="1" applyBorder="1" applyAlignment="1">
      <alignment horizontal="left" vertical="center"/>
    </xf>
    <xf numFmtId="0" fontId="11" fillId="10" borderId="142" xfId="0" applyFont="1" applyFill="1" applyBorder="1" applyAlignment="1">
      <alignment horizontal="left" vertical="center"/>
    </xf>
    <xf numFmtId="0" fontId="11" fillId="10" borderId="143" xfId="0" applyFont="1" applyFill="1" applyBorder="1" applyAlignment="1">
      <alignment horizontal="left" vertical="center"/>
    </xf>
    <xf numFmtId="0" fontId="11" fillId="10" borderId="144" xfId="0" applyFont="1" applyFill="1" applyBorder="1" applyAlignment="1">
      <alignment horizontal="left" vertical="center"/>
    </xf>
    <xf numFmtId="0" fontId="11" fillId="10" borderId="145" xfId="0" applyFont="1" applyFill="1" applyBorder="1" applyAlignment="1">
      <alignment horizontal="left" vertical="center"/>
    </xf>
    <xf numFmtId="0" fontId="11" fillId="10" borderId="146" xfId="0" applyFont="1" applyFill="1" applyBorder="1" applyAlignment="1">
      <alignment horizontal="left" vertical="center"/>
    </xf>
    <xf numFmtId="0" fontId="12" fillId="10" borderId="24" xfId="0" applyFont="1" applyFill="1" applyBorder="1" applyAlignment="1">
      <alignment horizontal="left" vertical="center"/>
    </xf>
    <xf numFmtId="0" fontId="12" fillId="10" borderId="25" xfId="0" applyFont="1" applyFill="1" applyBorder="1" applyAlignment="1">
      <alignment horizontal="left" vertical="center"/>
    </xf>
    <xf numFmtId="0" fontId="12" fillId="10" borderId="26" xfId="0" applyFont="1" applyFill="1" applyBorder="1" applyAlignment="1">
      <alignment horizontal="left" vertical="center"/>
    </xf>
    <xf numFmtId="0" fontId="6" fillId="10" borderId="141" xfId="0" applyFont="1" applyFill="1" applyBorder="1" applyAlignment="1">
      <alignment horizontal="left" vertical="center"/>
    </xf>
    <xf numFmtId="0" fontId="6" fillId="10" borderId="142" xfId="0" applyFont="1" applyFill="1" applyBorder="1" applyAlignment="1">
      <alignment horizontal="left" vertical="center"/>
    </xf>
    <xf numFmtId="0" fontId="6" fillId="10" borderId="143" xfId="0" applyFont="1" applyFill="1" applyBorder="1" applyAlignment="1">
      <alignment horizontal="left" vertical="center"/>
    </xf>
    <xf numFmtId="0" fontId="6" fillId="10" borderId="144" xfId="0" applyFont="1" applyFill="1" applyBorder="1" applyAlignment="1">
      <alignment horizontal="left" vertical="center"/>
    </xf>
    <xf numFmtId="0" fontId="6" fillId="10" borderId="145" xfId="0" applyFont="1" applyFill="1" applyBorder="1" applyAlignment="1">
      <alignment horizontal="left" vertical="center"/>
    </xf>
    <xf numFmtId="0" fontId="6" fillId="10" borderId="146" xfId="0" applyFont="1" applyFill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5" xfId="0" applyFont="1" applyFill="1" applyBorder="1" applyAlignment="1">
      <alignment horizontal="left" vertical="center"/>
    </xf>
    <xf numFmtId="0" fontId="3" fillId="14" borderId="26" xfId="0" applyFont="1" applyFill="1" applyBorder="1" applyAlignment="1">
      <alignment horizontal="left" vertical="center"/>
    </xf>
    <xf numFmtId="0" fontId="6" fillId="2" borderId="153" xfId="0" applyFont="1" applyFill="1" applyBorder="1" applyAlignment="1">
      <alignment horizontal="left" vertical="center"/>
    </xf>
    <xf numFmtId="0" fontId="6" fillId="2" borderId="154" xfId="0" applyFont="1" applyFill="1" applyBorder="1" applyAlignment="1">
      <alignment horizontal="left" vertical="center"/>
    </xf>
    <xf numFmtId="0" fontId="6" fillId="2" borderId="155" xfId="0" applyFont="1" applyFill="1" applyBorder="1" applyAlignment="1">
      <alignment horizontal="left" vertical="center"/>
    </xf>
    <xf numFmtId="0" fontId="24" fillId="2" borderId="153" xfId="0" applyFont="1" applyFill="1" applyBorder="1" applyAlignment="1">
      <alignment horizontal="left" vertical="center"/>
    </xf>
    <xf numFmtId="0" fontId="24" fillId="2" borderId="154" xfId="0" applyFont="1" applyFill="1" applyBorder="1" applyAlignment="1">
      <alignment horizontal="left" vertical="center"/>
    </xf>
    <xf numFmtId="0" fontId="24" fillId="2" borderId="309" xfId="0" applyFont="1" applyFill="1" applyBorder="1" applyAlignment="1">
      <alignment horizontal="left" vertical="center"/>
    </xf>
    <xf numFmtId="0" fontId="24" fillId="13" borderId="64" xfId="0" applyFont="1" applyFill="1" applyBorder="1" applyAlignment="1">
      <alignment horizontal="left" vertical="center"/>
    </xf>
    <xf numFmtId="0" fontId="24" fillId="13" borderId="65" xfId="0" applyFont="1" applyFill="1" applyBorder="1" applyAlignment="1">
      <alignment horizontal="left" vertical="center"/>
    </xf>
    <xf numFmtId="0" fontId="24" fillId="13" borderId="310" xfId="0" applyFont="1" applyFill="1" applyBorder="1" applyAlignment="1">
      <alignment horizontal="left" vertical="center"/>
    </xf>
    <xf numFmtId="0" fontId="24" fillId="4" borderId="64" xfId="0" applyFont="1" applyFill="1" applyBorder="1" applyAlignment="1">
      <alignment horizontal="left" vertical="center"/>
    </xf>
    <xf numFmtId="0" fontId="24" fillId="4" borderId="65" xfId="0" applyFont="1" applyFill="1" applyBorder="1" applyAlignment="1">
      <alignment horizontal="left" vertical="center"/>
    </xf>
    <xf numFmtId="0" fontId="24" fillId="4" borderId="310" xfId="0" applyFont="1" applyFill="1" applyBorder="1" applyAlignment="1">
      <alignment horizontal="left" vertical="center"/>
    </xf>
    <xf numFmtId="0" fontId="24" fillId="12" borderId="156" xfId="0" applyFont="1" applyFill="1" applyBorder="1" applyAlignment="1">
      <alignment horizontal="left" vertical="center"/>
    </xf>
    <xf numFmtId="0" fontId="24" fillId="12" borderId="157" xfId="0" applyFont="1" applyFill="1" applyBorder="1" applyAlignment="1">
      <alignment horizontal="left" vertical="center"/>
    </xf>
    <xf numFmtId="0" fontId="0" fillId="14" borderId="82" xfId="0" applyFill="1" applyBorder="1" applyAlignment="1">
      <alignment horizontal="center"/>
    </xf>
    <xf numFmtId="0" fontId="0" fillId="14" borderId="83" xfId="0" applyFill="1" applyBorder="1" applyAlignment="1">
      <alignment horizontal="center"/>
    </xf>
    <xf numFmtId="0" fontId="0" fillId="14" borderId="84" xfId="0" applyFill="1" applyBorder="1" applyAlignment="1">
      <alignment horizontal="center"/>
    </xf>
    <xf numFmtId="0" fontId="0" fillId="14" borderId="79" xfId="0" applyFill="1" applyBorder="1" applyAlignment="1">
      <alignment horizontal="center"/>
    </xf>
    <xf numFmtId="0" fontId="0" fillId="14" borderId="80" xfId="0" applyFill="1" applyBorder="1" applyAlignment="1">
      <alignment horizontal="center"/>
    </xf>
    <xf numFmtId="0" fontId="0" fillId="14" borderId="81" xfId="0" applyFill="1" applyBorder="1" applyAlignment="1">
      <alignment horizontal="center"/>
    </xf>
    <xf numFmtId="0" fontId="0" fillId="2" borderId="76" xfId="0" applyFill="1" applyBorder="1" applyAlignment="1">
      <alignment horizontal="center"/>
    </xf>
    <xf numFmtId="0" fontId="0" fillId="2" borderId="77" xfId="0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5" borderId="67" xfId="0" applyFill="1" applyBorder="1" applyAlignment="1">
      <alignment horizontal="center"/>
    </xf>
    <xf numFmtId="0" fontId="3" fillId="10" borderId="24" xfId="0" applyFont="1" applyFill="1" applyBorder="1" applyAlignment="1">
      <alignment horizontal="left" vertical="center"/>
    </xf>
    <xf numFmtId="0" fontId="3" fillId="10" borderId="25" xfId="0" applyFont="1" applyFill="1" applyBorder="1" applyAlignment="1">
      <alignment horizontal="left" vertical="center"/>
    </xf>
    <xf numFmtId="0" fontId="3" fillId="10" borderId="26" xfId="0" applyFont="1" applyFill="1" applyBorder="1" applyAlignment="1">
      <alignment horizontal="left" vertical="center"/>
    </xf>
    <xf numFmtId="0" fontId="7" fillId="10" borderId="24" xfId="0" applyFont="1" applyFill="1" applyBorder="1" applyAlignment="1">
      <alignment horizontal="left" vertical="center" wrapText="1"/>
    </xf>
    <xf numFmtId="0" fontId="7" fillId="10" borderId="25" xfId="0" applyFont="1" applyFill="1" applyBorder="1" applyAlignment="1">
      <alignment horizontal="left" vertical="center" wrapText="1"/>
    </xf>
    <xf numFmtId="0" fontId="7" fillId="10" borderId="26" xfId="0" applyFont="1" applyFill="1" applyBorder="1" applyAlignment="1">
      <alignment horizontal="left" vertical="center" wrapText="1"/>
    </xf>
    <xf numFmtId="0" fontId="18" fillId="14" borderId="118" xfId="0" applyFont="1" applyFill="1" applyBorder="1" applyAlignment="1">
      <alignment horizontal="center" vertical="center"/>
    </xf>
    <xf numFmtId="0" fontId="18" fillId="14" borderId="119" xfId="0" applyFont="1" applyFill="1" applyBorder="1" applyAlignment="1">
      <alignment horizontal="center" vertical="center"/>
    </xf>
    <xf numFmtId="0" fontId="0" fillId="14" borderId="123" xfId="0" applyFill="1" applyBorder="1" applyAlignment="1">
      <alignment horizontal="center"/>
    </xf>
    <xf numFmtId="0" fontId="0" fillId="14" borderId="124" xfId="0" applyFill="1" applyBorder="1" applyAlignment="1">
      <alignment horizontal="center"/>
    </xf>
    <xf numFmtId="0" fontId="0" fillId="14" borderId="125" xfId="0" applyFill="1" applyBorder="1" applyAlignment="1">
      <alignment horizontal="center"/>
    </xf>
    <xf numFmtId="0" fontId="0" fillId="5" borderId="79" xfId="0" applyFill="1" applyBorder="1" applyAlignment="1">
      <alignment horizontal="center"/>
    </xf>
    <xf numFmtId="0" fontId="0" fillId="5" borderId="80" xfId="0" applyFill="1" applyBorder="1" applyAlignment="1">
      <alignment horizontal="center"/>
    </xf>
    <xf numFmtId="0" fontId="0" fillId="5" borderId="81" xfId="0" applyFill="1" applyBorder="1" applyAlignment="1">
      <alignment horizontal="center"/>
    </xf>
    <xf numFmtId="0" fontId="0" fillId="4" borderId="123" xfId="0" applyFill="1" applyBorder="1" applyAlignment="1">
      <alignment horizontal="center"/>
    </xf>
    <xf numFmtId="0" fontId="0" fillId="4" borderId="124" xfId="0" applyFill="1" applyBorder="1" applyAlignment="1">
      <alignment horizontal="center"/>
    </xf>
    <xf numFmtId="0" fontId="0" fillId="4" borderId="125" xfId="0" applyFill="1" applyBorder="1" applyAlignment="1">
      <alignment horizontal="center"/>
    </xf>
    <xf numFmtId="0" fontId="0" fillId="2" borderId="86" xfId="0" applyFill="1" applyBorder="1" applyAlignment="1">
      <alignment horizontal="center" vertical="center" textRotation="90" wrapText="1"/>
    </xf>
    <xf numFmtId="0" fontId="0" fillId="2" borderId="87" xfId="0" applyFill="1" applyBorder="1" applyAlignment="1">
      <alignment horizontal="center" vertical="center" textRotation="90" wrapText="1"/>
    </xf>
    <xf numFmtId="0" fontId="0" fillId="2" borderId="88" xfId="0" applyFill="1" applyBorder="1" applyAlignment="1">
      <alignment horizontal="center" vertical="center" textRotation="90" wrapText="1"/>
    </xf>
    <xf numFmtId="0" fontId="0" fillId="5" borderId="88" xfId="0" applyFill="1" applyBorder="1" applyAlignment="1">
      <alignment horizontal="center" vertical="center" textRotation="90" wrapText="1"/>
    </xf>
    <xf numFmtId="0" fontId="0" fillId="5" borderId="86" xfId="0" applyFill="1" applyBorder="1" applyAlignment="1">
      <alignment horizontal="center" vertical="center" textRotation="90" wrapText="1"/>
    </xf>
    <xf numFmtId="0" fontId="0" fillId="5" borderId="87" xfId="0" applyFill="1" applyBorder="1" applyAlignment="1">
      <alignment horizontal="center" vertical="center" textRotation="90" wrapText="1"/>
    </xf>
    <xf numFmtId="0" fontId="0" fillId="4" borderId="88" xfId="0" applyFill="1" applyBorder="1" applyAlignment="1">
      <alignment horizontal="center" vertical="center" textRotation="90" wrapText="1"/>
    </xf>
    <xf numFmtId="0" fontId="0" fillId="4" borderId="86" xfId="0" applyFill="1" applyBorder="1" applyAlignment="1">
      <alignment horizontal="center" vertical="center" textRotation="90" wrapText="1"/>
    </xf>
    <xf numFmtId="0" fontId="0" fillId="4" borderId="87" xfId="0" applyFill="1" applyBorder="1" applyAlignment="1">
      <alignment horizontal="center" vertical="center" textRotation="90" wrapText="1"/>
    </xf>
    <xf numFmtId="0" fontId="0" fillId="4" borderId="89" xfId="0" applyFill="1" applyBorder="1" applyAlignment="1">
      <alignment horizontal="center" vertical="center" textRotation="90" wrapText="1"/>
    </xf>
    <xf numFmtId="0" fontId="0" fillId="2" borderId="233" xfId="0" applyFill="1" applyBorder="1" applyAlignment="1">
      <alignment horizontal="left"/>
    </xf>
    <xf numFmtId="0" fontId="0" fillId="2" borderId="234" xfId="0" applyFill="1" applyBorder="1" applyAlignment="1">
      <alignment horizontal="left"/>
    </xf>
    <xf numFmtId="0" fontId="0" fillId="13" borderId="235" xfId="0" applyFill="1" applyBorder="1" applyAlignment="1">
      <alignment horizontal="left"/>
    </xf>
    <xf numFmtId="0" fontId="0" fillId="13" borderId="236" xfId="0" applyFill="1" applyBorder="1" applyAlignment="1">
      <alignment horizontal="left"/>
    </xf>
    <xf numFmtId="0" fontId="0" fillId="4" borderId="235" xfId="0" applyFill="1" applyBorder="1" applyAlignment="1">
      <alignment horizontal="left"/>
    </xf>
    <xf numFmtId="0" fontId="0" fillId="4" borderId="236" xfId="0" applyFill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6" fillId="0" borderId="129" xfId="0" applyFont="1" applyBorder="1" applyAlignment="1">
      <alignment horizontal="left" vertical="center"/>
    </xf>
    <xf numFmtId="0" fontId="6" fillId="0" borderId="130" xfId="0" applyFont="1" applyBorder="1" applyAlignment="1">
      <alignment horizontal="left" vertical="center"/>
    </xf>
    <xf numFmtId="0" fontId="6" fillId="0" borderId="131" xfId="0" applyFont="1" applyBorder="1" applyAlignment="1">
      <alignment horizontal="left" vertical="center"/>
    </xf>
    <xf numFmtId="0" fontId="7" fillId="0" borderId="138" xfId="0" applyFont="1" applyBorder="1" applyAlignment="1">
      <alignment horizontal="left" vertical="center" wrapText="1"/>
    </xf>
    <xf numFmtId="0" fontId="7" fillId="0" borderId="139" xfId="0" applyFont="1" applyBorder="1" applyAlignment="1">
      <alignment horizontal="left" vertical="center" wrapText="1"/>
    </xf>
    <xf numFmtId="0" fontId="7" fillId="0" borderId="140" xfId="0" applyFont="1" applyBorder="1" applyAlignment="1">
      <alignment horizontal="left" vertical="center" wrapText="1"/>
    </xf>
    <xf numFmtId="0" fontId="13" fillId="10" borderId="118" xfId="0" applyFont="1" applyFill="1" applyBorder="1" applyAlignment="1">
      <alignment horizontal="center" vertical="center"/>
    </xf>
    <xf numFmtId="0" fontId="13" fillId="10" borderId="119" xfId="0" applyFont="1" applyFill="1" applyBorder="1" applyAlignment="1">
      <alignment horizontal="center" vertical="center"/>
    </xf>
    <xf numFmtId="0" fontId="13" fillId="10" borderId="120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65" fontId="1" fillId="9" borderId="222" xfId="1" applyNumberFormat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 textRotation="90" wrapText="1"/>
    </xf>
    <xf numFmtId="0" fontId="0" fillId="4" borderId="23" xfId="0" applyFill="1" applyBorder="1" applyAlignment="1">
      <alignment horizontal="center" vertical="center" textRotation="90" wrapText="1"/>
    </xf>
    <xf numFmtId="0" fontId="0" fillId="4" borderId="108" xfId="0" applyFill="1" applyBorder="1" applyAlignment="1">
      <alignment horizontal="center" vertical="center"/>
    </xf>
    <xf numFmtId="0" fontId="0" fillId="4" borderId="109" xfId="0" applyFill="1" applyBorder="1" applyAlignment="1">
      <alignment horizontal="center" vertical="center"/>
    </xf>
    <xf numFmtId="0" fontId="0" fillId="12" borderId="108" xfId="0" applyFill="1" applyBorder="1" applyAlignment="1">
      <alignment horizontal="center" vertical="center"/>
    </xf>
    <xf numFmtId="0" fontId="0" fillId="12" borderId="109" xfId="0" applyFill="1" applyBorder="1" applyAlignment="1">
      <alignment horizontal="center" vertical="center"/>
    </xf>
    <xf numFmtId="0" fontId="0" fillId="2" borderId="108" xfId="0" applyFill="1" applyBorder="1" applyAlignment="1">
      <alignment horizontal="center" vertical="center"/>
    </xf>
    <xf numFmtId="0" fontId="0" fillId="2" borderId="109" xfId="0" applyFill="1" applyBorder="1" applyAlignment="1">
      <alignment horizontal="center" vertical="center"/>
    </xf>
    <xf numFmtId="0" fontId="0" fillId="13" borderId="106" xfId="0" applyFill="1" applyBorder="1" applyAlignment="1">
      <alignment horizontal="center" vertical="center"/>
    </xf>
    <xf numFmtId="0" fontId="0" fillId="13" borderId="107" xfId="0" applyFill="1" applyBorder="1" applyAlignment="1">
      <alignment horizontal="center" vertical="center"/>
    </xf>
    <xf numFmtId="0" fontId="0" fillId="4" borderId="106" xfId="0" applyFill="1" applyBorder="1" applyAlignment="1">
      <alignment horizontal="center" vertical="center"/>
    </xf>
    <xf numFmtId="0" fontId="0" fillId="4" borderId="107" xfId="0" applyFill="1" applyBorder="1" applyAlignment="1">
      <alignment horizontal="center" vertical="center"/>
    </xf>
    <xf numFmtId="0" fontId="0" fillId="2" borderId="106" xfId="0" applyFill="1" applyBorder="1" applyAlignment="1">
      <alignment horizontal="center" vertical="center"/>
    </xf>
    <xf numFmtId="0" fontId="0" fillId="2" borderId="107" xfId="0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6" fillId="0" borderId="132" xfId="0" applyFont="1" applyBorder="1" applyAlignment="1">
      <alignment horizontal="left" vertical="center"/>
    </xf>
    <xf numFmtId="0" fontId="6" fillId="0" borderId="133" xfId="0" applyFont="1" applyBorder="1" applyAlignment="1">
      <alignment horizontal="left" vertical="center"/>
    </xf>
    <xf numFmtId="0" fontId="6" fillId="0" borderId="134" xfId="0" applyFont="1" applyBorder="1" applyAlignment="1">
      <alignment horizontal="left" vertical="center"/>
    </xf>
    <xf numFmtId="0" fontId="20" fillId="16" borderId="36" xfId="0" applyFont="1" applyFill="1" applyBorder="1" applyAlignment="1">
      <alignment horizontal="center" vertical="center" textRotation="90"/>
    </xf>
    <xf numFmtId="0" fontId="20" fillId="16" borderId="32" xfId="0" applyFont="1" applyFill="1" applyBorder="1" applyAlignment="1">
      <alignment horizontal="center" vertical="center" textRotation="90"/>
    </xf>
    <xf numFmtId="0" fontId="20" fillId="16" borderId="27" xfId="0" applyFont="1" applyFill="1" applyBorder="1" applyAlignment="1">
      <alignment horizontal="center" vertical="center" textRotation="90"/>
    </xf>
    <xf numFmtId="0" fontId="0" fillId="13" borderId="22" xfId="0" applyFill="1" applyBorder="1" applyAlignment="1">
      <alignment horizontal="center" vertical="center" textRotation="90" wrapText="1"/>
    </xf>
    <xf numFmtId="0" fontId="0" fillId="13" borderId="23" xfId="0" applyFill="1" applyBorder="1" applyAlignment="1">
      <alignment horizontal="center" vertical="center" textRotation="90" wrapText="1"/>
    </xf>
    <xf numFmtId="0" fontId="18" fillId="2" borderId="112" xfId="0" applyFont="1" applyFill="1" applyBorder="1" applyAlignment="1">
      <alignment horizontal="center" vertical="center"/>
    </xf>
    <xf numFmtId="0" fontId="18" fillId="2" borderId="113" xfId="0" applyFont="1" applyFill="1" applyBorder="1" applyAlignment="1">
      <alignment horizontal="center" vertical="center"/>
    </xf>
    <xf numFmtId="0" fontId="18" fillId="2" borderId="114" xfId="0" applyFont="1" applyFill="1" applyBorder="1" applyAlignment="1">
      <alignment horizontal="center" vertical="center"/>
    </xf>
    <xf numFmtId="0" fontId="18" fillId="4" borderId="115" xfId="0" applyFont="1" applyFill="1" applyBorder="1" applyAlignment="1">
      <alignment horizontal="center" vertical="center"/>
    </xf>
    <xf numFmtId="0" fontId="18" fillId="4" borderId="116" xfId="0" applyFont="1" applyFill="1" applyBorder="1" applyAlignment="1">
      <alignment horizontal="center" vertical="center"/>
    </xf>
    <xf numFmtId="0" fontId="18" fillId="4" borderId="117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 textRotation="90"/>
    </xf>
    <xf numFmtId="0" fontId="1" fillId="10" borderId="32" xfId="0" applyFont="1" applyFill="1" applyBorder="1" applyAlignment="1">
      <alignment horizontal="center" vertical="center" textRotation="90"/>
    </xf>
    <xf numFmtId="0" fontId="1" fillId="10" borderId="27" xfId="0" applyFont="1" applyFill="1" applyBorder="1" applyAlignment="1">
      <alignment horizontal="center" vertical="center" textRotation="90"/>
    </xf>
    <xf numFmtId="0" fontId="0" fillId="2" borderId="21" xfId="0" applyFill="1" applyBorder="1" applyAlignment="1">
      <alignment horizontal="center" vertical="center" textRotation="90" wrapText="1"/>
    </xf>
    <xf numFmtId="0" fontId="0" fillId="2" borderId="21" xfId="0" applyFill="1" applyBorder="1" applyAlignment="1">
      <alignment horizontal="center" vertical="center" textRotation="90"/>
    </xf>
    <xf numFmtId="0" fontId="20" fillId="15" borderId="85" xfId="0" applyFont="1" applyFill="1" applyBorder="1" applyAlignment="1">
      <alignment horizontal="center" vertical="center" textRotation="90"/>
    </xf>
    <xf numFmtId="0" fontId="20" fillId="15" borderId="128" xfId="0" applyFont="1" applyFill="1" applyBorder="1" applyAlignment="1">
      <alignment horizontal="center" vertical="center" textRotation="90"/>
    </xf>
    <xf numFmtId="0" fontId="14" fillId="7" borderId="15" xfId="0" applyFont="1" applyFill="1" applyBorder="1" applyAlignment="1">
      <alignment horizontal="center"/>
    </xf>
    <xf numFmtId="0" fontId="14" fillId="7" borderId="16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3" fillId="7" borderId="317" xfId="0" applyFont="1" applyFill="1" applyBorder="1" applyAlignment="1">
      <alignment horizontal="center"/>
    </xf>
    <xf numFmtId="0" fontId="3" fillId="7" borderId="318" xfId="0" applyFont="1" applyFill="1" applyBorder="1" applyAlignment="1">
      <alignment horizontal="center"/>
    </xf>
    <xf numFmtId="0" fontId="3" fillId="7" borderId="319" xfId="0" applyFont="1" applyFill="1" applyBorder="1" applyAlignment="1">
      <alignment horizontal="center"/>
    </xf>
    <xf numFmtId="0" fontId="0" fillId="7" borderId="164" xfId="0" applyFill="1" applyBorder="1" applyAlignment="1">
      <alignment horizontal="center"/>
    </xf>
    <xf numFmtId="0" fontId="0" fillId="7" borderId="161" xfId="0" applyFill="1" applyBorder="1" applyAlignment="1">
      <alignment horizontal="center"/>
    </xf>
    <xf numFmtId="0" fontId="0" fillId="7" borderId="165" xfId="0" applyFill="1" applyBorder="1" applyAlignment="1">
      <alignment horizontal="center"/>
    </xf>
    <xf numFmtId="0" fontId="0" fillId="12" borderId="22" xfId="0" applyFill="1" applyBorder="1" applyAlignment="1">
      <alignment horizontal="center" vertical="center" textRotation="90" wrapText="1"/>
    </xf>
    <xf numFmtId="0" fontId="0" fillId="12" borderId="23" xfId="0" applyFill="1" applyBorder="1" applyAlignment="1">
      <alignment horizontal="center" vertical="center" textRotation="90" wrapText="1"/>
    </xf>
    <xf numFmtId="0" fontId="0" fillId="12" borderId="106" xfId="0" applyFill="1" applyBorder="1" applyAlignment="1">
      <alignment horizontal="center" vertical="center"/>
    </xf>
    <xf numFmtId="0" fontId="0" fillId="12" borderId="107" xfId="0" applyFill="1" applyBorder="1" applyAlignment="1">
      <alignment horizontal="center" vertical="center"/>
    </xf>
    <xf numFmtId="3" fontId="4" fillId="14" borderId="150" xfId="0" applyNumberFormat="1" applyFont="1" applyFill="1" applyBorder="1" applyAlignment="1">
      <alignment horizontal="left" vertical="center"/>
    </xf>
    <xf numFmtId="3" fontId="4" fillId="14" borderId="151" xfId="0" applyNumberFormat="1" applyFont="1" applyFill="1" applyBorder="1" applyAlignment="1">
      <alignment horizontal="left" vertical="center"/>
    </xf>
    <xf numFmtId="3" fontId="4" fillId="14" borderId="152" xfId="0" applyNumberFormat="1" applyFont="1" applyFill="1" applyBorder="1" applyAlignment="1">
      <alignment horizontal="left" vertical="center"/>
    </xf>
    <xf numFmtId="0" fontId="4" fillId="14" borderId="150" xfId="0" applyFont="1" applyFill="1" applyBorder="1" applyAlignment="1">
      <alignment horizontal="left" vertical="center"/>
    </xf>
    <xf numFmtId="0" fontId="4" fillId="14" borderId="151" xfId="0" applyFont="1" applyFill="1" applyBorder="1" applyAlignment="1">
      <alignment horizontal="left" vertical="center"/>
    </xf>
    <xf numFmtId="0" fontId="4" fillId="14" borderId="152" xfId="0" applyFont="1" applyFill="1" applyBorder="1" applyAlignment="1">
      <alignment horizontal="left" vertical="center"/>
    </xf>
    <xf numFmtId="0" fontId="18" fillId="2" borderId="118" xfId="0" applyFont="1" applyFill="1" applyBorder="1" applyAlignment="1">
      <alignment horizontal="left" vertical="center"/>
    </xf>
    <xf numFmtId="0" fontId="18" fillId="2" borderId="119" xfId="0" applyFont="1" applyFill="1" applyBorder="1" applyAlignment="1">
      <alignment horizontal="left" vertical="center"/>
    </xf>
    <xf numFmtId="0" fontId="18" fillId="5" borderId="118" xfId="0" applyFont="1" applyFill="1" applyBorder="1" applyAlignment="1">
      <alignment horizontal="left" vertical="center"/>
    </xf>
    <xf numFmtId="0" fontId="18" fillId="5" borderId="119" xfId="0" applyFont="1" applyFill="1" applyBorder="1" applyAlignment="1">
      <alignment horizontal="left" vertical="center"/>
    </xf>
    <xf numFmtId="0" fontId="18" fillId="4" borderId="118" xfId="0" applyFont="1" applyFill="1" applyBorder="1" applyAlignment="1">
      <alignment horizontal="left" vertical="center"/>
    </xf>
    <xf numFmtId="0" fontId="18" fillId="4" borderId="119" xfId="0" applyFont="1" applyFill="1" applyBorder="1" applyAlignment="1">
      <alignment horizontal="left" vertical="center"/>
    </xf>
    <xf numFmtId="0" fontId="18" fillId="12" borderId="118" xfId="0" applyFont="1" applyFill="1" applyBorder="1" applyAlignment="1">
      <alignment horizontal="left" vertical="center"/>
    </xf>
    <xf numFmtId="0" fontId="18" fillId="12" borderId="119" xfId="0" applyFont="1" applyFill="1" applyBorder="1" applyAlignment="1">
      <alignment horizontal="left" vertical="center"/>
    </xf>
    <xf numFmtId="0" fontId="0" fillId="8" borderId="38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8" borderId="30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left" vertical="center" wrapText="1"/>
    </xf>
    <xf numFmtId="0" fontId="0" fillId="8" borderId="25" xfId="0" applyFill="1" applyBorder="1" applyAlignment="1">
      <alignment horizontal="left" vertical="center" wrapText="1"/>
    </xf>
    <xf numFmtId="0" fontId="0" fillId="8" borderId="26" xfId="0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center" wrapText="1"/>
    </xf>
    <xf numFmtId="0" fontId="0" fillId="8" borderId="37" xfId="0" applyFill="1" applyBorder="1" applyAlignment="1">
      <alignment horizontal="left" vertical="center" wrapText="1"/>
    </xf>
    <xf numFmtId="0" fontId="0" fillId="8" borderId="33" xfId="0" applyFill="1" applyBorder="1" applyAlignment="1">
      <alignment horizontal="left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8" borderId="36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1" fontId="0" fillId="12" borderId="260" xfId="0" applyNumberFormat="1" applyFill="1" applyBorder="1" applyAlignment="1">
      <alignment horizontal="center" vertical="center"/>
    </xf>
    <xf numFmtId="164" fontId="0" fillId="17" borderId="0" xfId="0" quotePrefix="1" applyNumberFormat="1" applyFill="1" applyAlignment="1">
      <alignment horizontal="center" vertical="center"/>
    </xf>
    <xf numFmtId="10" fontId="0" fillId="0" borderId="0" xfId="1" applyNumberFormat="1" applyFont="1"/>
    <xf numFmtId="0" fontId="18" fillId="4" borderId="323" xfId="0" applyFont="1" applyFill="1" applyBorder="1" applyAlignment="1">
      <alignment horizontal="center" vertical="center"/>
    </xf>
    <xf numFmtId="0" fontId="18" fillId="4" borderId="324" xfId="0" applyFont="1" applyFill="1" applyBorder="1" applyAlignment="1">
      <alignment horizontal="center" vertical="center"/>
    </xf>
    <xf numFmtId="168" fontId="0" fillId="12" borderId="126" xfId="0" applyNumberFormat="1" applyFill="1" applyBorder="1" applyAlignment="1">
      <alignment horizontal="center"/>
    </xf>
    <xf numFmtId="168" fontId="0" fillId="12" borderId="67" xfId="0" applyNumberFormat="1" applyFill="1" applyBorder="1" applyAlignment="1">
      <alignment horizontal="center"/>
    </xf>
    <xf numFmtId="168" fontId="0" fillId="12" borderId="74" xfId="0" applyNumberFormat="1" applyFill="1" applyBorder="1" applyAlignment="1">
      <alignment horizontal="center"/>
    </xf>
    <xf numFmtId="0" fontId="18" fillId="12" borderId="323" xfId="0" applyFont="1" applyFill="1" applyBorder="1" applyAlignment="1">
      <alignment horizontal="center" vertical="center"/>
    </xf>
    <xf numFmtId="0" fontId="18" fillId="12" borderId="324" xfId="0" applyFont="1" applyFill="1" applyBorder="1" applyAlignment="1">
      <alignment horizontal="center" vertical="center"/>
    </xf>
    <xf numFmtId="0" fontId="18" fillId="12" borderId="325" xfId="0" applyFont="1" applyFill="1" applyBorder="1" applyAlignment="1">
      <alignment horizontal="center" vertical="center"/>
    </xf>
    <xf numFmtId="0" fontId="18" fillId="4" borderId="325" xfId="0" applyFont="1" applyFill="1" applyBorder="1" applyAlignment="1">
      <alignment horizontal="center" vertical="center"/>
    </xf>
    <xf numFmtId="0" fontId="0" fillId="5" borderId="121" xfId="0" applyFill="1" applyBorder="1" applyAlignment="1">
      <alignment horizontal="center"/>
    </xf>
    <xf numFmtId="0" fontId="0" fillId="5" borderId="122" xfId="0" applyFill="1" applyBorder="1" applyAlignment="1">
      <alignment horizontal="center"/>
    </xf>
    <xf numFmtId="0" fontId="0" fillId="5" borderId="122" xfId="0" applyFill="1" applyBorder="1" applyAlignment="1">
      <alignment horizontal="center"/>
    </xf>
    <xf numFmtId="3" fontId="0" fillId="5" borderId="122" xfId="0" applyNumberFormat="1" applyFill="1" applyBorder="1" applyAlignment="1">
      <alignment horizontal="center"/>
    </xf>
    <xf numFmtId="165" fontId="0" fillId="5" borderId="326" xfId="1" applyNumberFormat="1" applyFont="1" applyFill="1" applyBorder="1" applyAlignment="1">
      <alignment horizontal="center"/>
    </xf>
    <xf numFmtId="0" fontId="18" fillId="5" borderId="323" xfId="0" applyFont="1" applyFill="1" applyBorder="1" applyAlignment="1">
      <alignment horizontal="center" vertical="center"/>
    </xf>
    <xf numFmtId="0" fontId="18" fillId="5" borderId="324" xfId="0" applyFont="1" applyFill="1" applyBorder="1" applyAlignment="1">
      <alignment horizontal="center" vertical="center"/>
    </xf>
    <xf numFmtId="0" fontId="18" fillId="5" borderId="325" xfId="0" applyFont="1" applyFill="1" applyBorder="1" applyAlignment="1">
      <alignment horizontal="center" vertical="center"/>
    </xf>
    <xf numFmtId="0" fontId="0" fillId="2" borderId="121" xfId="0" applyFill="1" applyBorder="1" applyAlignment="1">
      <alignment horizontal="center"/>
    </xf>
    <xf numFmtId="0" fontId="0" fillId="2" borderId="122" xfId="0" applyFill="1" applyBorder="1" applyAlignment="1">
      <alignment horizontal="center"/>
    </xf>
    <xf numFmtId="0" fontId="0" fillId="2" borderId="123" xfId="0" applyFill="1" applyBorder="1" applyAlignment="1">
      <alignment horizontal="center"/>
    </xf>
    <xf numFmtId="0" fontId="0" fillId="2" borderId="124" xfId="0" applyFill="1" applyBorder="1" applyAlignment="1">
      <alignment horizontal="center"/>
    </xf>
    <xf numFmtId="0" fontId="0" fillId="2" borderId="125" xfId="0" applyFill="1" applyBorder="1" applyAlignment="1">
      <alignment horizontal="center"/>
    </xf>
    <xf numFmtId="4" fontId="0" fillId="2" borderId="122" xfId="0" applyNumberFormat="1" applyFill="1" applyBorder="1" applyAlignment="1">
      <alignment horizontal="center"/>
    </xf>
    <xf numFmtId="167" fontId="0" fillId="2" borderId="326" xfId="1" applyNumberFormat="1" applyFont="1" applyFill="1" applyBorder="1" applyAlignment="1">
      <alignment horizontal="center"/>
    </xf>
    <xf numFmtId="0" fontId="18" fillId="2" borderId="323" xfId="0" applyFont="1" applyFill="1" applyBorder="1" applyAlignment="1">
      <alignment horizontal="center" vertical="center"/>
    </xf>
    <xf numFmtId="0" fontId="18" fillId="2" borderId="324" xfId="0" applyFont="1" applyFill="1" applyBorder="1" applyAlignment="1">
      <alignment horizontal="center" vertical="center"/>
    </xf>
    <xf numFmtId="0" fontId="18" fillId="2" borderId="325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D9D9D9"/>
      <color rgb="FFFFCCFF"/>
      <color rgb="FFFFFF00"/>
      <color rgb="FF79DCFF"/>
      <color rgb="FF99FF99"/>
      <color rgb="FF66FFFF"/>
      <color rgb="FFCCFFCC"/>
      <color rgb="FFCCFFFF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E139-D060-4107-9457-80794409DFCA}">
  <dimension ref="B5:BR322"/>
  <sheetViews>
    <sheetView tabSelected="1" topLeftCell="A12" zoomScale="115" zoomScaleNormal="115" zoomScaleSheetLayoutView="40" workbookViewId="0">
      <pane xSplit="10" ySplit="4" topLeftCell="P306" activePane="bottomRight" state="frozen"/>
      <selection activeCell="A12" sqref="A12"/>
      <selection pane="topRight" activeCell="K12" sqref="K12"/>
      <selection pane="bottomLeft" activeCell="A16" sqref="A16"/>
      <selection pane="bottomRight" activeCell="AJ311" sqref="AJ311:AJ322"/>
    </sheetView>
  </sheetViews>
  <sheetFormatPr defaultRowHeight="14" x14ac:dyDescent="0.3"/>
  <cols>
    <col min="1" max="1" width="1.9140625" customWidth="1"/>
    <col min="2" max="2" width="3.33203125" customWidth="1"/>
    <col min="3" max="3" width="5.83203125" customWidth="1"/>
    <col min="4" max="4" width="13.58203125" customWidth="1"/>
    <col min="5" max="5" width="6.75" customWidth="1"/>
    <col min="6" max="6" width="6.75" style="1" customWidth="1"/>
    <col min="7" max="7" width="7" style="1" customWidth="1"/>
    <col min="8" max="8" width="8.25" style="1" bestFit="1" customWidth="1"/>
    <col min="9" max="10" width="5.83203125" style="1" customWidth="1"/>
    <col min="11" max="11" width="7.6640625" style="1" bestFit="1" customWidth="1"/>
    <col min="12" max="12" width="8.33203125" bestFit="1" customWidth="1"/>
    <col min="13" max="13" width="7.83203125" bestFit="1" customWidth="1"/>
    <col min="14" max="14" width="7.75" customWidth="1"/>
    <col min="15" max="15" width="8.75" bestFit="1" customWidth="1"/>
    <col min="16" max="16" width="9.5" bestFit="1" customWidth="1"/>
    <col min="17" max="17" width="10.25" customWidth="1"/>
    <col min="18" max="18" width="8.1640625" bestFit="1" customWidth="1"/>
    <col min="19" max="19" width="8.75" bestFit="1" customWidth="1"/>
    <col min="20" max="20" width="8.33203125" bestFit="1" customWidth="1"/>
    <col min="21" max="21" width="7.83203125" bestFit="1" customWidth="1"/>
    <col min="22" max="22" width="7.75" customWidth="1"/>
    <col min="23" max="23" width="8.75" bestFit="1" customWidth="1"/>
    <col min="24" max="24" width="10.08203125" bestFit="1" customWidth="1"/>
    <col min="25" max="25" width="7.83203125" bestFit="1" customWidth="1"/>
    <col min="26" max="26" width="7.75" customWidth="1"/>
    <col min="27" max="27" width="7.6640625" bestFit="1" customWidth="1"/>
    <col min="28" max="28" width="8.33203125" bestFit="1" customWidth="1"/>
    <col min="29" max="29" width="9.4140625" bestFit="1" customWidth="1"/>
    <col min="30" max="30" width="7.75" customWidth="1"/>
    <col min="31" max="31" width="7.6640625" bestFit="1" customWidth="1"/>
    <col min="32" max="32" width="8.33203125" bestFit="1" customWidth="1"/>
    <col min="33" max="33" width="7.83203125" bestFit="1" customWidth="1"/>
    <col min="34" max="34" width="7.75" customWidth="1"/>
    <col min="35" max="35" width="8.25" bestFit="1" customWidth="1"/>
    <col min="36" max="36" width="8.33203125" bestFit="1" customWidth="1"/>
    <col min="37" max="37" width="7.83203125" bestFit="1" customWidth="1"/>
    <col min="38" max="38" width="7.75" customWidth="1"/>
    <col min="39" max="39" width="7.6640625" bestFit="1" customWidth="1"/>
    <col min="40" max="40" width="8.33203125" bestFit="1" customWidth="1"/>
    <col min="41" max="41" width="7.83203125" bestFit="1" customWidth="1"/>
    <col min="42" max="42" width="7.75" customWidth="1"/>
    <col min="43" max="43" width="7.6640625" bestFit="1" customWidth="1"/>
    <col min="44" max="44" width="8.33203125" bestFit="1" customWidth="1"/>
    <col min="45" max="45" width="7.83203125" bestFit="1" customWidth="1"/>
    <col min="46" max="46" width="7.75" customWidth="1"/>
    <col min="47" max="47" width="7.6640625" bestFit="1" customWidth="1"/>
    <col min="48" max="48" width="8.33203125" bestFit="1" customWidth="1"/>
    <col min="49" max="49" width="7.83203125" bestFit="1" customWidth="1"/>
    <col min="50" max="50" width="7.75" customWidth="1"/>
    <col min="51" max="51" width="7.6640625" bestFit="1" customWidth="1"/>
    <col min="52" max="52" width="8.33203125" bestFit="1" customWidth="1"/>
    <col min="53" max="54" width="7.9140625" customWidth="1"/>
    <col min="55" max="55" width="7.6640625" bestFit="1" customWidth="1"/>
    <col min="56" max="56" width="8.33203125" bestFit="1" customWidth="1"/>
    <col min="57" max="57" width="7.75" bestFit="1" customWidth="1"/>
    <col min="58" max="58" width="7.6640625" customWidth="1"/>
    <col min="59" max="59" width="6.33203125" bestFit="1" customWidth="1"/>
    <col min="61" max="61" width="8.75" bestFit="1" customWidth="1"/>
    <col min="62" max="62" width="22.33203125" bestFit="1" customWidth="1"/>
    <col min="63" max="63" width="9.25" bestFit="1" customWidth="1"/>
  </cols>
  <sheetData>
    <row r="5" spans="2:70" ht="87.5" x14ac:dyDescent="1.55">
      <c r="C5" s="709" t="s">
        <v>29</v>
      </c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709"/>
      <c r="AD5" s="709"/>
      <c r="AE5" s="709"/>
      <c r="AF5" s="709"/>
      <c r="AG5" s="709"/>
      <c r="AH5" s="709"/>
      <c r="AI5" s="709"/>
      <c r="AJ5" s="709"/>
      <c r="AK5" s="709"/>
      <c r="AL5" s="709"/>
      <c r="AM5" s="709"/>
      <c r="AN5" s="709"/>
      <c r="AO5" s="709"/>
      <c r="AP5" s="709"/>
      <c r="AQ5" s="709"/>
      <c r="AR5" s="709"/>
      <c r="AS5" s="709"/>
      <c r="AT5" s="709"/>
      <c r="AU5" s="709"/>
      <c r="AV5" s="709"/>
      <c r="AW5" s="709"/>
      <c r="AX5" s="709"/>
      <c r="AY5" s="709"/>
      <c r="AZ5" s="709"/>
      <c r="BA5" s="709"/>
      <c r="BB5" s="709"/>
      <c r="BC5" s="709"/>
      <c r="BD5" s="709"/>
      <c r="BE5" s="709"/>
      <c r="BF5" s="709"/>
      <c r="BG5" s="709"/>
    </row>
    <row r="7" spans="2:70" ht="58.5" x14ac:dyDescent="1.05">
      <c r="C7" s="693" t="s">
        <v>311</v>
      </c>
      <c r="D7" s="693"/>
      <c r="E7" s="693"/>
      <c r="F7" s="693"/>
      <c r="G7" s="693"/>
      <c r="H7" s="693"/>
      <c r="I7" s="693"/>
      <c r="J7" s="693"/>
      <c r="K7" s="693"/>
      <c r="L7" s="693"/>
      <c r="M7" s="693"/>
      <c r="N7" s="693"/>
      <c r="O7" s="693"/>
      <c r="P7" s="693"/>
      <c r="Q7" s="693"/>
      <c r="R7" s="693"/>
      <c r="S7" s="693"/>
      <c r="T7" s="693"/>
      <c r="U7" s="693"/>
      <c r="V7" s="693"/>
      <c r="W7" s="693"/>
      <c r="X7" s="693"/>
      <c r="Y7" s="693"/>
      <c r="Z7" s="693"/>
      <c r="AA7" s="693"/>
      <c r="AB7" s="693"/>
      <c r="AC7" s="693"/>
      <c r="AD7" s="693"/>
      <c r="AE7" s="693"/>
      <c r="AF7" s="693"/>
      <c r="AG7" s="693"/>
      <c r="AH7" s="693"/>
      <c r="AI7" s="693"/>
      <c r="AJ7" s="693"/>
      <c r="AK7" s="693"/>
      <c r="AL7" s="693"/>
      <c r="AM7" s="693"/>
      <c r="AN7" s="693"/>
      <c r="AO7" s="693"/>
      <c r="AP7" s="693"/>
      <c r="AQ7" s="693"/>
      <c r="AR7" s="693"/>
      <c r="AS7" s="693"/>
      <c r="AT7" s="693"/>
      <c r="AU7" s="693"/>
      <c r="AV7" s="693"/>
      <c r="AW7" s="693"/>
      <c r="AX7" s="693"/>
      <c r="AY7" s="693"/>
      <c r="AZ7" s="693"/>
      <c r="BA7" s="693"/>
      <c r="BB7" s="693"/>
      <c r="BC7" s="693"/>
      <c r="BD7" s="693"/>
      <c r="BE7" s="693"/>
      <c r="BF7" s="693"/>
      <c r="BG7" s="693"/>
    </row>
    <row r="8" spans="2:70" ht="29.5" x14ac:dyDescent="0.55000000000000004"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</row>
    <row r="11" spans="2:70" ht="14.5" thickBot="1" x14ac:dyDescent="0.35"/>
    <row r="12" spans="2:70" ht="18" thickBot="1" x14ac:dyDescent="0.4">
      <c r="B12" s="1"/>
      <c r="C12" s="1"/>
      <c r="D12" s="1"/>
      <c r="E12" s="1"/>
      <c r="K12" s="740" t="s">
        <v>28</v>
      </c>
      <c r="L12" s="741"/>
      <c r="M12" s="741"/>
      <c r="N12" s="741"/>
      <c r="O12" s="741"/>
      <c r="P12" s="741"/>
      <c r="Q12" s="741"/>
      <c r="R12" s="741"/>
      <c r="S12" s="741"/>
      <c r="T12" s="741"/>
      <c r="U12" s="741"/>
      <c r="V12" s="741"/>
      <c r="W12" s="741"/>
      <c r="X12" s="741"/>
      <c r="Y12" s="741"/>
      <c r="Z12" s="741"/>
      <c r="AA12" s="741"/>
      <c r="AB12" s="741"/>
      <c r="AC12" s="741"/>
      <c r="AD12" s="741"/>
      <c r="AE12" s="741"/>
      <c r="AF12" s="741"/>
      <c r="AG12" s="741"/>
      <c r="AH12" s="741"/>
      <c r="AI12" s="741"/>
      <c r="AJ12" s="741"/>
      <c r="AK12" s="741"/>
      <c r="AL12" s="741"/>
      <c r="AM12" s="741"/>
      <c r="AN12" s="741"/>
      <c r="AO12" s="741"/>
      <c r="AP12" s="741"/>
      <c r="AQ12" s="741"/>
      <c r="AR12" s="741"/>
      <c r="AS12" s="741"/>
      <c r="AT12" s="741"/>
      <c r="AU12" s="741"/>
      <c r="AV12" s="741"/>
      <c r="AW12" s="741"/>
      <c r="AX12" s="741"/>
      <c r="AY12" s="741"/>
      <c r="AZ12" s="741"/>
      <c r="BA12" s="741"/>
      <c r="BB12" s="741"/>
      <c r="BC12" s="741"/>
      <c r="BD12" s="741"/>
      <c r="BE12" s="741"/>
      <c r="BF12" s="742"/>
    </row>
    <row r="13" spans="2:70" x14ac:dyDescent="0.3">
      <c r="B13" s="1"/>
      <c r="C13" s="1"/>
      <c r="D13" s="1"/>
      <c r="E13" s="1"/>
      <c r="K13" s="743" t="s">
        <v>0</v>
      </c>
      <c r="L13" s="744"/>
      <c r="M13" s="744"/>
      <c r="N13" s="745"/>
      <c r="O13" s="743" t="s">
        <v>1</v>
      </c>
      <c r="P13" s="744"/>
      <c r="Q13" s="744"/>
      <c r="R13" s="745"/>
      <c r="S13" s="743" t="s">
        <v>2</v>
      </c>
      <c r="T13" s="744"/>
      <c r="U13" s="744"/>
      <c r="V13" s="745"/>
      <c r="W13" s="743" t="s">
        <v>3</v>
      </c>
      <c r="X13" s="744"/>
      <c r="Y13" s="744"/>
      <c r="Z13" s="745"/>
      <c r="AA13" s="743" t="s">
        <v>4</v>
      </c>
      <c r="AB13" s="744"/>
      <c r="AC13" s="744"/>
      <c r="AD13" s="745"/>
      <c r="AE13" s="743" t="s">
        <v>5</v>
      </c>
      <c r="AF13" s="744"/>
      <c r="AG13" s="744"/>
      <c r="AH13" s="745"/>
      <c r="AI13" s="743" t="s">
        <v>6</v>
      </c>
      <c r="AJ13" s="744"/>
      <c r="AK13" s="744"/>
      <c r="AL13" s="745"/>
      <c r="AM13" s="743" t="s">
        <v>7</v>
      </c>
      <c r="AN13" s="744"/>
      <c r="AO13" s="744"/>
      <c r="AP13" s="745"/>
      <c r="AQ13" s="743" t="s">
        <v>8</v>
      </c>
      <c r="AR13" s="744"/>
      <c r="AS13" s="744"/>
      <c r="AT13" s="745"/>
      <c r="AU13" s="743" t="s">
        <v>9</v>
      </c>
      <c r="AV13" s="744"/>
      <c r="AW13" s="744"/>
      <c r="AX13" s="745"/>
      <c r="AY13" s="743" t="s">
        <v>10</v>
      </c>
      <c r="AZ13" s="744"/>
      <c r="BA13" s="744"/>
      <c r="BB13" s="745"/>
      <c r="BC13" s="743" t="s">
        <v>11</v>
      </c>
      <c r="BD13" s="744"/>
      <c r="BE13" s="744"/>
      <c r="BF13" s="745"/>
    </row>
    <row r="14" spans="2:70" ht="14.5" thickBot="1" x14ac:dyDescent="0.35">
      <c r="B14" s="1"/>
      <c r="C14" s="1"/>
      <c r="D14" s="1"/>
      <c r="E14" s="1"/>
      <c r="K14" s="737" t="s">
        <v>302</v>
      </c>
      <c r="L14" s="738"/>
      <c r="M14" s="738"/>
      <c r="N14" s="739"/>
      <c r="O14" s="737" t="s">
        <v>306</v>
      </c>
      <c r="P14" s="738"/>
      <c r="Q14" s="738"/>
      <c r="R14" s="739"/>
      <c r="S14" s="737" t="s">
        <v>303</v>
      </c>
      <c r="T14" s="738"/>
      <c r="U14" s="738"/>
      <c r="V14" s="739"/>
      <c r="W14" s="737" t="s">
        <v>308</v>
      </c>
      <c r="X14" s="738"/>
      <c r="Y14" s="738"/>
      <c r="Z14" s="739"/>
      <c r="AA14" s="737" t="s">
        <v>305</v>
      </c>
      <c r="AB14" s="738"/>
      <c r="AC14" s="738"/>
      <c r="AD14" s="739"/>
      <c r="AE14" s="737" t="s">
        <v>310</v>
      </c>
      <c r="AF14" s="738"/>
      <c r="AG14" s="738"/>
      <c r="AH14" s="739"/>
      <c r="AI14" s="737" t="s">
        <v>307</v>
      </c>
      <c r="AJ14" s="738"/>
      <c r="AK14" s="738"/>
      <c r="AL14" s="739"/>
      <c r="AM14" s="737" t="s">
        <v>327</v>
      </c>
      <c r="AN14" s="738"/>
      <c r="AO14" s="738"/>
      <c r="AP14" s="739"/>
      <c r="AQ14" s="737" t="s">
        <v>304</v>
      </c>
      <c r="AR14" s="738"/>
      <c r="AS14" s="738"/>
      <c r="AT14" s="739"/>
      <c r="AU14" s="737" t="s">
        <v>309</v>
      </c>
      <c r="AV14" s="738"/>
      <c r="AW14" s="738"/>
      <c r="AX14" s="739"/>
      <c r="AY14" s="737" t="s">
        <v>328</v>
      </c>
      <c r="AZ14" s="738"/>
      <c r="BA14" s="738"/>
      <c r="BB14" s="739"/>
      <c r="BC14" s="737" t="s">
        <v>329</v>
      </c>
      <c r="BD14" s="738"/>
      <c r="BE14" s="738"/>
      <c r="BF14" s="739"/>
    </row>
    <row r="15" spans="2:70" ht="68.25" customHeight="1" thickBot="1" x14ac:dyDescent="0.35">
      <c r="B15" s="1"/>
      <c r="C15" s="1"/>
      <c r="D15" s="1"/>
      <c r="E15" s="1"/>
      <c r="K15" s="2" t="s">
        <v>12</v>
      </c>
      <c r="L15" s="3" t="s">
        <v>14</v>
      </c>
      <c r="M15" s="3" t="s">
        <v>13</v>
      </c>
      <c r="N15" s="3" t="s">
        <v>316</v>
      </c>
      <c r="O15" s="2" t="s">
        <v>12</v>
      </c>
      <c r="P15" s="3" t="s">
        <v>14</v>
      </c>
      <c r="Q15" s="3" t="s">
        <v>13</v>
      </c>
      <c r="R15" s="3" t="s">
        <v>316</v>
      </c>
      <c r="S15" s="2" t="s">
        <v>12</v>
      </c>
      <c r="T15" s="3" t="s">
        <v>14</v>
      </c>
      <c r="U15" s="3" t="s">
        <v>13</v>
      </c>
      <c r="V15" s="3" t="s">
        <v>316</v>
      </c>
      <c r="W15" s="2" t="s">
        <v>12</v>
      </c>
      <c r="X15" s="3" t="s">
        <v>14</v>
      </c>
      <c r="Y15" s="3" t="s">
        <v>13</v>
      </c>
      <c r="Z15" s="3" t="s">
        <v>316</v>
      </c>
      <c r="AA15" s="2" t="s">
        <v>12</v>
      </c>
      <c r="AB15" s="3" t="s">
        <v>14</v>
      </c>
      <c r="AC15" s="3" t="s">
        <v>13</v>
      </c>
      <c r="AD15" s="3" t="s">
        <v>316</v>
      </c>
      <c r="AE15" s="2" t="s">
        <v>12</v>
      </c>
      <c r="AF15" s="3" t="s">
        <v>14</v>
      </c>
      <c r="AG15" s="3" t="s">
        <v>13</v>
      </c>
      <c r="AH15" s="3" t="s">
        <v>316</v>
      </c>
      <c r="AI15" s="2" t="s">
        <v>12</v>
      </c>
      <c r="AJ15" s="3" t="s">
        <v>14</v>
      </c>
      <c r="AK15" s="3" t="s">
        <v>13</v>
      </c>
      <c r="AL15" s="3" t="s">
        <v>316</v>
      </c>
      <c r="AM15" s="2" t="s">
        <v>12</v>
      </c>
      <c r="AN15" s="3" t="s">
        <v>14</v>
      </c>
      <c r="AO15" s="3" t="s">
        <v>13</v>
      </c>
      <c r="AP15" s="3" t="s">
        <v>316</v>
      </c>
      <c r="AQ15" s="2" t="s">
        <v>12</v>
      </c>
      <c r="AR15" s="3" t="s">
        <v>14</v>
      </c>
      <c r="AS15" s="3" t="s">
        <v>13</v>
      </c>
      <c r="AT15" s="3" t="s">
        <v>316</v>
      </c>
      <c r="AU15" s="2" t="s">
        <v>12</v>
      </c>
      <c r="AV15" s="3" t="s">
        <v>14</v>
      </c>
      <c r="AW15" s="3" t="s">
        <v>13</v>
      </c>
      <c r="AX15" s="3" t="s">
        <v>316</v>
      </c>
      <c r="AY15" s="2" t="s">
        <v>12</v>
      </c>
      <c r="AZ15" s="3" t="s">
        <v>14</v>
      </c>
      <c r="BA15" s="3" t="s">
        <v>13</v>
      </c>
      <c r="BB15" s="3" t="s">
        <v>316</v>
      </c>
      <c r="BC15" s="2" t="s">
        <v>12</v>
      </c>
      <c r="BD15" s="3" t="s">
        <v>14</v>
      </c>
      <c r="BE15" s="4" t="s">
        <v>13</v>
      </c>
      <c r="BF15" s="456" t="s">
        <v>316</v>
      </c>
    </row>
    <row r="16" spans="2:70" ht="15" customHeight="1" thickBot="1" x14ac:dyDescent="0.35">
      <c r="B16" s="730" t="s">
        <v>330</v>
      </c>
      <c r="C16" s="542" t="s">
        <v>15</v>
      </c>
      <c r="D16" s="733" t="s">
        <v>16</v>
      </c>
      <c r="E16" s="707" t="s">
        <v>17</v>
      </c>
      <c r="F16" s="708"/>
      <c r="G16" s="190" t="s">
        <v>259</v>
      </c>
      <c r="H16" s="191" t="s">
        <v>260</v>
      </c>
      <c r="I16" s="192">
        <v>3</v>
      </c>
      <c r="J16" s="193">
        <v>5</v>
      </c>
      <c r="K16" s="125"/>
      <c r="L16" s="114"/>
      <c r="M16" s="114"/>
      <c r="N16" s="115"/>
      <c r="O16" s="125"/>
      <c r="P16" s="114"/>
      <c r="Q16" s="114"/>
      <c r="R16" s="115"/>
      <c r="S16" s="125"/>
      <c r="T16" s="114"/>
      <c r="U16" s="114"/>
      <c r="V16" s="115"/>
      <c r="W16" s="119">
        <f t="shared" ref="W16:W23" si="0">IF(ISNUMBER(FIND(W$13,$G16)),$I16,IF(ISNUMBER(FIND(W$13,$H16)),$J16,""))</f>
        <v>3</v>
      </c>
      <c r="X16" s="114"/>
      <c r="Y16" s="114"/>
      <c r="Z16" s="115"/>
      <c r="AA16" s="125"/>
      <c r="AB16" s="114"/>
      <c r="AC16" s="114"/>
      <c r="AD16" s="115"/>
      <c r="AE16" s="125"/>
      <c r="AF16" s="114"/>
      <c r="AG16" s="114"/>
      <c r="AH16" s="115"/>
      <c r="AI16" s="125"/>
      <c r="AJ16" s="114"/>
      <c r="AK16" s="114"/>
      <c r="AL16" s="115"/>
      <c r="AM16" s="113">
        <f>IF(ISNUMBER(FIND(AM$13,$G16)),$I16,IF(ISNUMBER(FIND(AM$13,$H16)),$J16,""))</f>
        <v>5</v>
      </c>
      <c r="AN16" s="114"/>
      <c r="AO16" s="114"/>
      <c r="AP16" s="115"/>
      <c r="AQ16" s="125"/>
      <c r="AR16" s="114"/>
      <c r="AS16" s="114"/>
      <c r="AT16" s="115"/>
      <c r="AU16" s="125"/>
      <c r="AV16" s="114"/>
      <c r="AW16" s="114"/>
      <c r="AX16" s="115"/>
      <c r="AY16" s="113">
        <f>IF(ISNUMBER(FIND(AY$13,$G16)),$I16,IF(ISNUMBER(FIND(AY$13,$H16)),$J16,""))</f>
        <v>5</v>
      </c>
      <c r="AZ16" s="114"/>
      <c r="BA16" s="114"/>
      <c r="BB16" s="115"/>
      <c r="BC16" s="113">
        <f>IF(ISNUMBER(FIND(BC$13,$G16)),$I16,IF(ISNUMBER(FIND(BC$13,$H16)),$J16,""))</f>
        <v>3</v>
      </c>
      <c r="BD16" s="114"/>
      <c r="BE16" s="114"/>
      <c r="BF16" s="115"/>
      <c r="BH16">
        <v>9</v>
      </c>
      <c r="BI16" t="s">
        <v>31</v>
      </c>
      <c r="BL16" t="s">
        <v>37</v>
      </c>
      <c r="BN16" t="s">
        <v>49</v>
      </c>
      <c r="BP16" s="8" t="s">
        <v>64</v>
      </c>
      <c r="BR16" t="s">
        <v>50</v>
      </c>
    </row>
    <row r="17" spans="2:70" ht="14.5" thickBot="1" x14ac:dyDescent="0.35">
      <c r="B17" s="731"/>
      <c r="C17" s="543"/>
      <c r="D17" s="734"/>
      <c r="E17" s="701" t="s">
        <v>18</v>
      </c>
      <c r="F17" s="702"/>
      <c r="G17" s="194" t="s">
        <v>256</v>
      </c>
      <c r="H17" s="195" t="s">
        <v>261</v>
      </c>
      <c r="I17" s="196">
        <v>4</v>
      </c>
      <c r="J17" s="197">
        <v>5</v>
      </c>
      <c r="K17" s="119">
        <f>IF(ISNUMBER(FIND(K$13,$G17)),$I17,IF(ISNUMBER(FIND(K$13,$H17)),$J17,""))</f>
        <v>5</v>
      </c>
      <c r="L17" s="117"/>
      <c r="M17" s="117"/>
      <c r="N17" s="118"/>
      <c r="O17" s="116"/>
      <c r="P17" s="117"/>
      <c r="Q17" s="117"/>
      <c r="R17" s="118"/>
      <c r="S17" s="116"/>
      <c r="T17" s="117"/>
      <c r="U17" s="117"/>
      <c r="V17" s="118"/>
      <c r="W17" s="116"/>
      <c r="X17" s="117"/>
      <c r="Y17" s="117"/>
      <c r="Z17" s="118"/>
      <c r="AA17" s="116"/>
      <c r="AB17" s="117"/>
      <c r="AC17" s="117"/>
      <c r="AD17" s="118"/>
      <c r="AE17" s="119">
        <f>IF(ISNUMBER(FIND(AE$13,$G17)),$I17,IF(ISNUMBER(FIND(AE$13,$H17)),$J17,""))</f>
        <v>5</v>
      </c>
      <c r="AF17" s="117"/>
      <c r="AG17" s="117"/>
      <c r="AH17" s="118"/>
      <c r="AI17" s="116"/>
      <c r="AJ17" s="117"/>
      <c r="AK17" s="117"/>
      <c r="AL17" s="118"/>
      <c r="AM17" s="119">
        <f>IF(ISNUMBER(FIND(AM$13,$G17)),$I17,IF(ISNUMBER(FIND(AM$13,$H17)),$J17,""))</f>
        <v>4</v>
      </c>
      <c r="AN17" s="117"/>
      <c r="AO17" s="117"/>
      <c r="AP17" s="118"/>
      <c r="AQ17" s="116"/>
      <c r="AR17" s="117"/>
      <c r="AS17" s="117"/>
      <c r="AT17" s="118"/>
      <c r="AU17" s="119">
        <f>IF(ISNUMBER(FIND(AU$13,$G17)),$I17,IF(ISNUMBER(FIND(AU$13,$H17)),$J17,""))</f>
        <v>4</v>
      </c>
      <c r="AV17" s="117"/>
      <c r="AW17" s="117"/>
      <c r="AX17" s="118"/>
      <c r="AY17" s="116"/>
      <c r="AZ17" s="117"/>
      <c r="BA17" s="117"/>
      <c r="BB17" s="118"/>
      <c r="BC17" s="116"/>
      <c r="BD17" s="117"/>
      <c r="BE17" s="117"/>
      <c r="BF17" s="118"/>
      <c r="BH17">
        <v>8</v>
      </c>
      <c r="BI17" t="s">
        <v>30</v>
      </c>
      <c r="BL17" t="s">
        <v>38</v>
      </c>
      <c r="BN17" t="s">
        <v>41</v>
      </c>
      <c r="BP17" t="s">
        <v>56</v>
      </c>
      <c r="BR17" t="s">
        <v>68</v>
      </c>
    </row>
    <row r="18" spans="2:70" ht="14.5" thickBot="1" x14ac:dyDescent="0.35">
      <c r="B18" s="731"/>
      <c r="C18" s="543"/>
      <c r="D18" s="734"/>
      <c r="E18" s="701" t="s">
        <v>19</v>
      </c>
      <c r="F18" s="702"/>
      <c r="G18" s="194" t="s">
        <v>262</v>
      </c>
      <c r="H18" s="195" t="s">
        <v>263</v>
      </c>
      <c r="I18" s="196">
        <v>5</v>
      </c>
      <c r="J18" s="197">
        <v>3</v>
      </c>
      <c r="K18" s="116"/>
      <c r="L18" s="117"/>
      <c r="M18" s="117"/>
      <c r="N18" s="118"/>
      <c r="O18" s="116"/>
      <c r="P18" s="117"/>
      <c r="Q18" s="117"/>
      <c r="R18" s="118"/>
      <c r="S18" s="119">
        <f>IF(ISNUMBER(FIND(S$13,$G18)),$I18,IF(ISNUMBER(FIND(S$13,$H18)),$J18,""))</f>
        <v>5</v>
      </c>
      <c r="T18" s="117"/>
      <c r="U18" s="117"/>
      <c r="V18" s="118"/>
      <c r="W18" s="119">
        <f t="shared" si="0"/>
        <v>3</v>
      </c>
      <c r="X18" s="117"/>
      <c r="Y18" s="117"/>
      <c r="Z18" s="118"/>
      <c r="AA18" s="119">
        <f>IF(ISNUMBER(FIND(AA$13,$G18)),$I18,IF(ISNUMBER(FIND(AA$13,$H18)),$J18,""))</f>
        <v>3</v>
      </c>
      <c r="AB18" s="117"/>
      <c r="AC18" s="117"/>
      <c r="AD18" s="118"/>
      <c r="AE18" s="116"/>
      <c r="AF18" s="117"/>
      <c r="AG18" s="117"/>
      <c r="AH18" s="118"/>
      <c r="AI18" s="116"/>
      <c r="AJ18" s="117"/>
      <c r="AK18" s="117"/>
      <c r="AL18" s="118"/>
      <c r="AM18" s="116"/>
      <c r="AN18" s="117"/>
      <c r="AO18" s="117"/>
      <c r="AP18" s="118"/>
      <c r="AQ18" s="119">
        <f>IF(ISNUMBER(FIND(AQ$13,$G18)),$I18,IF(ISNUMBER(FIND(AQ$13,$H18)),$J18,""))</f>
        <v>5</v>
      </c>
      <c r="AR18" s="117"/>
      <c r="AS18" s="117"/>
      <c r="AT18" s="118"/>
      <c r="AU18" s="116"/>
      <c r="AV18" s="117"/>
      <c r="AW18" s="117"/>
      <c r="AX18" s="118"/>
      <c r="AY18" s="116"/>
      <c r="AZ18" s="117"/>
      <c r="BA18" s="117"/>
      <c r="BB18" s="118"/>
      <c r="BC18" s="116"/>
      <c r="BD18" s="117"/>
      <c r="BE18" s="117"/>
      <c r="BF18" s="118"/>
      <c r="BH18">
        <f>BH16*BH17</f>
        <v>72</v>
      </c>
      <c r="BI18" t="s">
        <v>32</v>
      </c>
      <c r="BL18" t="s">
        <v>39</v>
      </c>
      <c r="BN18" t="s">
        <v>42</v>
      </c>
      <c r="BP18" t="s">
        <v>57</v>
      </c>
      <c r="BR18" t="s">
        <v>69</v>
      </c>
    </row>
    <row r="19" spans="2:70" ht="14.5" thickBot="1" x14ac:dyDescent="0.35">
      <c r="B19" s="731"/>
      <c r="C19" s="543"/>
      <c r="D19" s="734"/>
      <c r="E19" s="701" t="s">
        <v>20</v>
      </c>
      <c r="F19" s="702"/>
      <c r="G19" s="194" t="s">
        <v>264</v>
      </c>
      <c r="H19" s="195" t="s">
        <v>265</v>
      </c>
      <c r="I19" s="196">
        <v>5</v>
      </c>
      <c r="J19" s="197">
        <v>2</v>
      </c>
      <c r="K19" s="116"/>
      <c r="L19" s="117"/>
      <c r="M19" s="117"/>
      <c r="N19" s="118"/>
      <c r="O19" s="116"/>
      <c r="P19" s="117"/>
      <c r="Q19" s="117"/>
      <c r="R19" s="118"/>
      <c r="S19" s="116"/>
      <c r="T19" s="117"/>
      <c r="U19" s="117"/>
      <c r="V19" s="118"/>
      <c r="W19" s="116"/>
      <c r="X19" s="117"/>
      <c r="Y19" s="117"/>
      <c r="Z19" s="118"/>
      <c r="AA19" s="116"/>
      <c r="AB19" s="117"/>
      <c r="AC19" s="117"/>
      <c r="AD19" s="118"/>
      <c r="AE19" s="119">
        <f>IF(ISNUMBER(FIND(AE$13,$G19)),$I19,IF(ISNUMBER(FIND(AE$13,$H19)),$J19,""))</f>
        <v>5</v>
      </c>
      <c r="AF19" s="117"/>
      <c r="AG19" s="117"/>
      <c r="AH19" s="118"/>
      <c r="AI19" s="119">
        <f>IF(ISNUMBER(FIND(AI$13,$G19)),$I19,IF(ISNUMBER(FIND(AI$13,$H19)),$J19,""))</f>
        <v>2</v>
      </c>
      <c r="AJ19" s="117"/>
      <c r="AK19" s="117"/>
      <c r="AL19" s="118"/>
      <c r="AM19" s="116"/>
      <c r="AN19" s="117"/>
      <c r="AO19" s="117"/>
      <c r="AP19" s="118"/>
      <c r="AQ19" s="116"/>
      <c r="AR19" s="117"/>
      <c r="AS19" s="117"/>
      <c r="AT19" s="118"/>
      <c r="AU19" s="119">
        <f>IF(ISNUMBER(FIND(AU$13,$G19)),$I19,IF(ISNUMBER(FIND(AU$13,$H19)),$J19,""))</f>
        <v>2</v>
      </c>
      <c r="AV19" s="117"/>
      <c r="AW19" s="117"/>
      <c r="AX19" s="118"/>
      <c r="AY19" s="116"/>
      <c r="AZ19" s="117"/>
      <c r="BA19" s="117"/>
      <c r="BB19" s="118"/>
      <c r="BC19" s="119">
        <f>IF(ISNUMBER(FIND(BC$13,$G19)),$I19,IF(ISNUMBER(FIND(BC$13,$H19)),$J19,""))</f>
        <v>5</v>
      </c>
      <c r="BD19" s="117"/>
      <c r="BE19" s="117"/>
      <c r="BF19" s="118"/>
      <c r="BH19">
        <f>BH17/14.5</f>
        <v>0.55172413793103448</v>
      </c>
      <c r="BI19" t="s">
        <v>36</v>
      </c>
    </row>
    <row r="20" spans="2:70" ht="14.5" thickBot="1" x14ac:dyDescent="0.35">
      <c r="B20" s="731"/>
      <c r="C20" s="543"/>
      <c r="D20" s="734"/>
      <c r="E20" s="701" t="s">
        <v>21</v>
      </c>
      <c r="F20" s="702"/>
      <c r="G20" s="194" t="s">
        <v>266</v>
      </c>
      <c r="H20" s="195" t="s">
        <v>267</v>
      </c>
      <c r="I20" s="196">
        <v>1</v>
      </c>
      <c r="J20" s="197">
        <v>5</v>
      </c>
      <c r="K20" s="116"/>
      <c r="L20" s="117"/>
      <c r="M20" s="117"/>
      <c r="N20" s="118"/>
      <c r="O20" s="119">
        <f>IF(ISNUMBER(FIND(O$13,$G20)),$I20,IF(ISNUMBER(FIND(O$13,$H20)),$J20,""))</f>
        <v>5</v>
      </c>
      <c r="P20" s="117"/>
      <c r="Q20" s="117"/>
      <c r="R20" s="118"/>
      <c r="S20" s="116"/>
      <c r="T20" s="117"/>
      <c r="U20" s="117"/>
      <c r="V20" s="118"/>
      <c r="W20" s="116"/>
      <c r="X20" s="117"/>
      <c r="Y20" s="117"/>
      <c r="Z20" s="118"/>
      <c r="AA20" s="119">
        <f>IF(ISNUMBER(FIND(AA$13,$G20)),$I20,IF(ISNUMBER(FIND(AA$13,$H20)),$J20,""))</f>
        <v>1</v>
      </c>
      <c r="AB20" s="117"/>
      <c r="AC20" s="117"/>
      <c r="AD20" s="118"/>
      <c r="AE20" s="116"/>
      <c r="AF20" s="117"/>
      <c r="AG20" s="117"/>
      <c r="AH20" s="118"/>
      <c r="AI20" s="116"/>
      <c r="AJ20" s="117"/>
      <c r="AK20" s="117"/>
      <c r="AL20" s="118"/>
      <c r="AM20" s="116"/>
      <c r="AN20" s="117"/>
      <c r="AO20" s="117"/>
      <c r="AP20" s="118"/>
      <c r="AQ20" s="116"/>
      <c r="AR20" s="117"/>
      <c r="AS20" s="117"/>
      <c r="AT20" s="118"/>
      <c r="AU20" s="116"/>
      <c r="AV20" s="117"/>
      <c r="AW20" s="117"/>
      <c r="AX20" s="118"/>
      <c r="AY20" s="119">
        <f>IF(ISNUMBER(FIND(AY$13,$G20)),$I20,IF(ISNUMBER(FIND(AY$13,$H20)),$J20,""))</f>
        <v>1</v>
      </c>
      <c r="AZ20" s="117"/>
      <c r="BA20" s="117"/>
      <c r="BB20" s="118"/>
      <c r="BC20" s="119">
        <f>IF(ISNUMBER(FIND(BC$13,$G20)),$I20,IF(ISNUMBER(FIND(BC$13,$H20)),$J20,""))</f>
        <v>5</v>
      </c>
      <c r="BD20" s="117"/>
      <c r="BE20" s="117"/>
      <c r="BF20" s="118"/>
      <c r="BH20">
        <f>BH19*6/10*14.5</f>
        <v>4.8</v>
      </c>
    </row>
    <row r="21" spans="2:70" ht="14.5" thickBot="1" x14ac:dyDescent="0.35">
      <c r="B21" s="731"/>
      <c r="C21" s="543"/>
      <c r="D21" s="734"/>
      <c r="E21" s="701" t="s">
        <v>22</v>
      </c>
      <c r="F21" s="702"/>
      <c r="G21" s="194" t="s">
        <v>268</v>
      </c>
      <c r="H21" s="195" t="s">
        <v>258</v>
      </c>
      <c r="I21" s="196">
        <v>5</v>
      </c>
      <c r="J21" s="197">
        <v>2</v>
      </c>
      <c r="K21" s="119">
        <f>IF(ISNUMBER(FIND(K$13,$G21)),$I21,IF(ISNUMBER(FIND(K$13,$H21)),$J21,""))</f>
        <v>2</v>
      </c>
      <c r="L21" s="117"/>
      <c r="M21" s="117"/>
      <c r="N21" s="118"/>
      <c r="O21" s="119">
        <f>IF(ISNUMBER(FIND(O$13,$G21)),$I21,IF(ISNUMBER(FIND(O$13,$H21)),$J21,""))</f>
        <v>5</v>
      </c>
      <c r="P21" s="117"/>
      <c r="Q21" s="117"/>
      <c r="R21" s="118"/>
      <c r="S21" s="116"/>
      <c r="T21" s="117"/>
      <c r="U21" s="117"/>
      <c r="V21" s="118"/>
      <c r="W21" s="116"/>
      <c r="X21" s="117"/>
      <c r="Y21" s="117"/>
      <c r="Z21" s="118"/>
      <c r="AA21" s="116"/>
      <c r="AB21" s="117"/>
      <c r="AC21" s="117"/>
      <c r="AD21" s="118"/>
      <c r="AE21" s="116"/>
      <c r="AF21" s="117"/>
      <c r="AG21" s="117"/>
      <c r="AH21" s="118"/>
      <c r="AI21" s="116"/>
      <c r="AJ21" s="117"/>
      <c r="AK21" s="117"/>
      <c r="AL21" s="118"/>
      <c r="AM21" s="116"/>
      <c r="AN21" s="117"/>
      <c r="AO21" s="117"/>
      <c r="AP21" s="118"/>
      <c r="AQ21" s="119">
        <f>IF(ISNUMBER(FIND(AQ$13,$G21)),$I21,IF(ISNUMBER(FIND(AQ$13,$H21)),$J21,""))</f>
        <v>5</v>
      </c>
      <c r="AR21" s="117"/>
      <c r="AS21" s="117"/>
      <c r="AT21" s="118"/>
      <c r="AU21" s="116"/>
      <c r="AV21" s="117"/>
      <c r="AW21" s="117"/>
      <c r="AX21" s="118"/>
      <c r="AY21" s="116"/>
      <c r="AZ21" s="117"/>
      <c r="BA21" s="117"/>
      <c r="BB21" s="118"/>
      <c r="BC21" s="119">
        <f>IF(ISNUMBER(FIND(BC$13,$G21)),$I21,IF(ISNUMBER(FIND(BC$13,$H21)),$J21,""))</f>
        <v>2</v>
      </c>
      <c r="BD21" s="117"/>
      <c r="BE21" s="117"/>
      <c r="BF21" s="118"/>
    </row>
    <row r="22" spans="2:70" ht="14.5" thickBot="1" x14ac:dyDescent="0.35">
      <c r="B22" s="731"/>
      <c r="C22" s="543"/>
      <c r="D22" s="734"/>
      <c r="E22" s="701" t="s">
        <v>23</v>
      </c>
      <c r="F22" s="702"/>
      <c r="G22" s="194" t="s">
        <v>269</v>
      </c>
      <c r="H22" s="195" t="s">
        <v>257</v>
      </c>
      <c r="I22" s="196">
        <v>3</v>
      </c>
      <c r="J22" s="197">
        <v>5</v>
      </c>
      <c r="K22" s="119">
        <f>IF(ISNUMBER(FIND(K$13,$G22)),$I22,IF(ISNUMBER(FIND(K$13,$H22)),$J22,""))</f>
        <v>3</v>
      </c>
      <c r="L22" s="117"/>
      <c r="M22" s="117"/>
      <c r="N22" s="118"/>
      <c r="O22" s="116"/>
      <c r="P22" s="117"/>
      <c r="Q22" s="117"/>
      <c r="R22" s="118"/>
      <c r="S22" s="116"/>
      <c r="T22" s="117"/>
      <c r="U22" s="117"/>
      <c r="V22" s="118"/>
      <c r="W22" s="116"/>
      <c r="X22" s="117"/>
      <c r="Y22" s="117"/>
      <c r="Z22" s="118"/>
      <c r="AA22" s="116"/>
      <c r="AB22" s="117"/>
      <c r="AC22" s="117"/>
      <c r="AD22" s="118"/>
      <c r="AE22" s="119">
        <f>IF(ISNUMBER(FIND(AE$13,$G22)),$I22,IF(ISNUMBER(FIND(AE$13,$H22)),$J22,""))</f>
        <v>5</v>
      </c>
      <c r="AF22" s="117"/>
      <c r="AG22" s="117"/>
      <c r="AH22" s="118"/>
      <c r="AI22" s="116"/>
      <c r="AJ22" s="117"/>
      <c r="AK22" s="117"/>
      <c r="AL22" s="118"/>
      <c r="AM22" s="116"/>
      <c r="AN22" s="117"/>
      <c r="AO22" s="117"/>
      <c r="AP22" s="118"/>
      <c r="AQ22" s="119">
        <f>IF(ISNUMBER(FIND(AQ$13,$G22)),$I22,IF(ISNUMBER(FIND(AQ$13,$H22)),$J22,""))</f>
        <v>5</v>
      </c>
      <c r="AR22" s="117"/>
      <c r="AS22" s="117"/>
      <c r="AT22" s="118"/>
      <c r="AU22" s="116"/>
      <c r="AV22" s="117"/>
      <c r="AW22" s="117"/>
      <c r="AX22" s="118"/>
      <c r="AY22" s="119">
        <f>IF(ISNUMBER(FIND(AY$13,$G22)),$I22,IF(ISNUMBER(FIND(AY$13,$H22)),$J22,""))</f>
        <v>3</v>
      </c>
      <c r="AZ22" s="117"/>
      <c r="BA22" s="117"/>
      <c r="BB22" s="118"/>
      <c r="BC22" s="116"/>
      <c r="BD22" s="117"/>
      <c r="BE22" s="117"/>
      <c r="BF22" s="118"/>
      <c r="BI22" t="s">
        <v>33</v>
      </c>
    </row>
    <row r="23" spans="2:70" ht="14.5" thickBot="1" x14ac:dyDescent="0.35">
      <c r="B23" s="731"/>
      <c r="C23" s="543"/>
      <c r="D23" s="734"/>
      <c r="E23" s="701" t="s">
        <v>24</v>
      </c>
      <c r="F23" s="702"/>
      <c r="G23" s="198" t="s">
        <v>270</v>
      </c>
      <c r="H23" s="199" t="s">
        <v>271</v>
      </c>
      <c r="I23" s="200">
        <v>5</v>
      </c>
      <c r="J23" s="201">
        <v>2</v>
      </c>
      <c r="K23" s="122"/>
      <c r="L23" s="123"/>
      <c r="M23" s="123"/>
      <c r="N23" s="124"/>
      <c r="O23" s="122"/>
      <c r="P23" s="123"/>
      <c r="Q23" s="123"/>
      <c r="R23" s="124"/>
      <c r="S23" s="131">
        <f>IF(ISNUMBER(FIND(S$13,$G23)),$I23,IF(ISNUMBER(FIND(S$13,$H23)),$J23,""))</f>
        <v>2</v>
      </c>
      <c r="T23" s="123"/>
      <c r="U23" s="123"/>
      <c r="V23" s="124"/>
      <c r="W23" s="119">
        <f t="shared" si="0"/>
        <v>5</v>
      </c>
      <c r="X23" s="123"/>
      <c r="Y23" s="123"/>
      <c r="Z23" s="124"/>
      <c r="AA23" s="122"/>
      <c r="AB23" s="123"/>
      <c r="AC23" s="123"/>
      <c r="AD23" s="124"/>
      <c r="AE23" s="122"/>
      <c r="AF23" s="123"/>
      <c r="AG23" s="123"/>
      <c r="AH23" s="124"/>
      <c r="AI23" s="131">
        <f>IF(ISNUMBER(FIND(AI$13,$G23)),$I23,IF(ISNUMBER(FIND(AI$13,$H23)),$J23,""))</f>
        <v>5</v>
      </c>
      <c r="AJ23" s="123"/>
      <c r="AK23" s="123"/>
      <c r="AL23" s="124"/>
      <c r="AM23" s="122"/>
      <c r="AN23" s="123"/>
      <c r="AO23" s="123"/>
      <c r="AP23" s="124"/>
      <c r="AQ23" s="122"/>
      <c r="AR23" s="123"/>
      <c r="AS23" s="123"/>
      <c r="AT23" s="124"/>
      <c r="AU23" s="122"/>
      <c r="AV23" s="123"/>
      <c r="AW23" s="123"/>
      <c r="AX23" s="124"/>
      <c r="AY23" s="131">
        <f>IF(ISNUMBER(FIND(AY$13,$G23)),$I23,IF(ISNUMBER(FIND(AY$13,$H23)),$J23,""))</f>
        <v>2</v>
      </c>
      <c r="AZ23" s="123"/>
      <c r="BA23" s="123"/>
      <c r="BB23" s="124"/>
      <c r="BC23" s="122"/>
      <c r="BD23" s="123"/>
      <c r="BE23" s="123"/>
      <c r="BF23" s="124"/>
      <c r="BI23" t="s">
        <v>34</v>
      </c>
    </row>
    <row r="24" spans="2:70" ht="15" customHeight="1" x14ac:dyDescent="0.3">
      <c r="B24" s="731"/>
      <c r="C24" s="543"/>
      <c r="D24" s="722" t="s">
        <v>244</v>
      </c>
      <c r="E24" s="703" t="s">
        <v>17</v>
      </c>
      <c r="F24" s="704"/>
      <c r="G24" s="202" t="s">
        <v>0</v>
      </c>
      <c r="H24" s="203" t="s">
        <v>4</v>
      </c>
      <c r="I24" s="207">
        <v>229</v>
      </c>
      <c r="J24" s="204">
        <v>235</v>
      </c>
      <c r="K24" s="125"/>
      <c r="L24" s="120">
        <f>IF(ISNUMBER(FIND(K$13,$G24)),$I24,IF(ISNUMBER(FIND(K$13,$H24)),$J24,""))</f>
        <v>229</v>
      </c>
      <c r="M24" s="114"/>
      <c r="N24" s="115"/>
      <c r="O24" s="125"/>
      <c r="P24" s="114"/>
      <c r="Q24" s="114"/>
      <c r="R24" s="115"/>
      <c r="S24" s="125"/>
      <c r="T24" s="114"/>
      <c r="U24" s="114"/>
      <c r="V24" s="115"/>
      <c r="W24" s="125"/>
      <c r="X24" s="114"/>
      <c r="Y24" s="114"/>
      <c r="Z24" s="115"/>
      <c r="AA24" s="125"/>
      <c r="AB24" s="120">
        <f>IF(ISNUMBER(FIND(AA$13,$G24)),$I24,IF(ISNUMBER(FIND(AA$13,$H24)),$J24,""))</f>
        <v>235</v>
      </c>
      <c r="AC24" s="114"/>
      <c r="AD24" s="115"/>
      <c r="AE24" s="125"/>
      <c r="AF24" s="114"/>
      <c r="AG24" s="114"/>
      <c r="AH24" s="115"/>
      <c r="AI24" s="125"/>
      <c r="AJ24" s="114"/>
      <c r="AK24" s="114"/>
      <c r="AL24" s="115"/>
      <c r="AM24" s="125"/>
      <c r="AN24" s="114"/>
      <c r="AO24" s="114"/>
      <c r="AP24" s="115"/>
      <c r="AQ24" s="125"/>
      <c r="AR24" s="114"/>
      <c r="AS24" s="114"/>
      <c r="AT24" s="115"/>
      <c r="AU24" s="125"/>
      <c r="AV24" s="114"/>
      <c r="AW24" s="114"/>
      <c r="AX24" s="115"/>
      <c r="AY24" s="125"/>
      <c r="AZ24" s="114"/>
      <c r="BA24" s="114"/>
      <c r="BB24" s="115"/>
      <c r="BC24" s="125"/>
      <c r="BD24" s="114"/>
      <c r="BE24" s="114"/>
      <c r="BF24" s="115"/>
      <c r="BI24" t="s">
        <v>43</v>
      </c>
      <c r="BL24" t="s">
        <v>46</v>
      </c>
      <c r="BN24" t="s">
        <v>52</v>
      </c>
      <c r="BP24" s="8" t="s">
        <v>63</v>
      </c>
      <c r="BR24" t="s">
        <v>63</v>
      </c>
    </row>
    <row r="25" spans="2:70" x14ac:dyDescent="0.3">
      <c r="B25" s="731"/>
      <c r="C25" s="543"/>
      <c r="D25" s="723"/>
      <c r="E25" s="559" t="s">
        <v>18</v>
      </c>
      <c r="F25" s="560"/>
      <c r="G25" s="205" t="s">
        <v>6</v>
      </c>
      <c r="H25" s="206" t="s">
        <v>11</v>
      </c>
      <c r="I25" s="207">
        <v>241</v>
      </c>
      <c r="J25" s="207">
        <v>211</v>
      </c>
      <c r="K25" s="116"/>
      <c r="L25" s="117"/>
      <c r="M25" s="117"/>
      <c r="N25" s="118"/>
      <c r="O25" s="116"/>
      <c r="P25" s="117"/>
      <c r="Q25" s="117"/>
      <c r="R25" s="118"/>
      <c r="S25" s="116"/>
      <c r="T25" s="117"/>
      <c r="U25" s="117"/>
      <c r="V25" s="118"/>
      <c r="W25" s="116"/>
      <c r="X25" s="117"/>
      <c r="Y25" s="117"/>
      <c r="Z25" s="118"/>
      <c r="AA25" s="116"/>
      <c r="AB25" s="117"/>
      <c r="AC25" s="117"/>
      <c r="AD25" s="118"/>
      <c r="AE25" s="116"/>
      <c r="AF25" s="117"/>
      <c r="AG25" s="117"/>
      <c r="AH25" s="118"/>
      <c r="AI25" s="116"/>
      <c r="AJ25" s="120">
        <f>IF(ISNUMBER(FIND(AI$13,$G25)),$I25,IF(ISNUMBER(FIND(AI$13,$H25)),$J25,""))</f>
        <v>241</v>
      </c>
      <c r="AK25" s="117"/>
      <c r="AL25" s="118"/>
      <c r="AM25" s="116"/>
      <c r="AN25" s="117"/>
      <c r="AO25" s="117"/>
      <c r="AP25" s="118"/>
      <c r="AQ25" s="116"/>
      <c r="AR25" s="117"/>
      <c r="AS25" s="117"/>
      <c r="AT25" s="118"/>
      <c r="AU25" s="116"/>
      <c r="AV25" s="117"/>
      <c r="AW25" s="117"/>
      <c r="AX25" s="118"/>
      <c r="AY25" s="116"/>
      <c r="AZ25" s="117"/>
      <c r="BA25" s="117"/>
      <c r="BB25" s="118"/>
      <c r="BC25" s="116"/>
      <c r="BD25" s="120">
        <f>IF(ISNUMBER(FIND(BC$13,$G25)),$I25,IF(ISNUMBER(FIND(BC$13,$H25)),$J25,""))</f>
        <v>211</v>
      </c>
      <c r="BE25" s="117"/>
      <c r="BF25" s="118"/>
      <c r="BI25" t="s">
        <v>44</v>
      </c>
      <c r="BL25" t="s">
        <v>47</v>
      </c>
      <c r="BN25" t="s">
        <v>53</v>
      </c>
      <c r="BP25" t="s">
        <v>61</v>
      </c>
      <c r="BR25" t="s">
        <v>61</v>
      </c>
    </row>
    <row r="26" spans="2:70" x14ac:dyDescent="0.3">
      <c r="B26" s="731"/>
      <c r="C26" s="543"/>
      <c r="D26" s="723"/>
      <c r="E26" s="559" t="s">
        <v>19</v>
      </c>
      <c r="F26" s="560"/>
      <c r="G26" s="205" t="s">
        <v>1</v>
      </c>
      <c r="H26" s="206" t="s">
        <v>7</v>
      </c>
      <c r="I26" s="207">
        <v>279</v>
      </c>
      <c r="J26" s="207">
        <v>180</v>
      </c>
      <c r="K26" s="116"/>
      <c r="L26" s="117"/>
      <c r="M26" s="117"/>
      <c r="N26" s="118"/>
      <c r="O26" s="116"/>
      <c r="P26" s="120">
        <f>IF(ISNUMBER(FIND(O$13,$G26)),$I26,IF(ISNUMBER(FIND(O$13,$H26)),$J26,""))</f>
        <v>279</v>
      </c>
      <c r="Q26" s="117"/>
      <c r="R26" s="118"/>
      <c r="S26" s="116"/>
      <c r="T26" s="117"/>
      <c r="U26" s="117"/>
      <c r="V26" s="118"/>
      <c r="W26" s="116"/>
      <c r="X26" s="117"/>
      <c r="Y26" s="117"/>
      <c r="Z26" s="118"/>
      <c r="AA26" s="116"/>
      <c r="AB26" s="117"/>
      <c r="AC26" s="117"/>
      <c r="AD26" s="118"/>
      <c r="AE26" s="116"/>
      <c r="AF26" s="117"/>
      <c r="AG26" s="117"/>
      <c r="AH26" s="118"/>
      <c r="AI26" s="116"/>
      <c r="AJ26" s="117"/>
      <c r="AK26" s="117"/>
      <c r="AL26" s="118"/>
      <c r="AM26" s="116"/>
      <c r="AN26" s="120">
        <f>IF(ISNUMBER(FIND(AM$13,$G26)),$I26,IF(ISNUMBER(FIND(AM$13,$H26)),$J26,""))</f>
        <v>180</v>
      </c>
      <c r="AO26" s="117"/>
      <c r="AP26" s="118"/>
      <c r="AQ26" s="116"/>
      <c r="AR26" s="117"/>
      <c r="AS26" s="117"/>
      <c r="AT26" s="118"/>
      <c r="AU26" s="116"/>
      <c r="AV26" s="117"/>
      <c r="AW26" s="117"/>
      <c r="AX26" s="118"/>
      <c r="AY26" s="116"/>
      <c r="AZ26" s="117"/>
      <c r="BA26" s="117"/>
      <c r="BB26" s="118"/>
      <c r="BC26" s="116"/>
      <c r="BD26" s="117"/>
      <c r="BE26" s="117"/>
      <c r="BF26" s="118"/>
      <c r="BI26" t="s">
        <v>45</v>
      </c>
      <c r="BL26" t="s">
        <v>48</v>
      </c>
      <c r="BN26" t="s">
        <v>54</v>
      </c>
      <c r="BP26" t="s">
        <v>62</v>
      </c>
      <c r="BR26" t="s">
        <v>62</v>
      </c>
    </row>
    <row r="27" spans="2:70" x14ac:dyDescent="0.3">
      <c r="B27" s="731"/>
      <c r="C27" s="543"/>
      <c r="D27" s="723"/>
      <c r="E27" s="559" t="s">
        <v>20</v>
      </c>
      <c r="F27" s="560"/>
      <c r="G27" s="205" t="s">
        <v>2</v>
      </c>
      <c r="H27" s="206" t="s">
        <v>7</v>
      </c>
      <c r="I27" s="207">
        <v>211</v>
      </c>
      <c r="J27" s="207">
        <v>150</v>
      </c>
      <c r="K27" s="116"/>
      <c r="L27" s="117"/>
      <c r="M27" s="117"/>
      <c r="N27" s="118"/>
      <c r="O27" s="116"/>
      <c r="P27" s="117"/>
      <c r="Q27" s="117"/>
      <c r="R27" s="118"/>
      <c r="S27" s="116"/>
      <c r="T27" s="120">
        <f>IF(ISNUMBER(FIND(S$13,$G27)),$I27,IF(ISNUMBER(FIND(S$13,$H27)),$J27,""))</f>
        <v>211</v>
      </c>
      <c r="U27" s="117"/>
      <c r="V27" s="118"/>
      <c r="W27" s="116"/>
      <c r="X27" s="117"/>
      <c r="Y27" s="117"/>
      <c r="Z27" s="118"/>
      <c r="AA27" s="116"/>
      <c r="AB27" s="117"/>
      <c r="AC27" s="117"/>
      <c r="AD27" s="118"/>
      <c r="AE27" s="116"/>
      <c r="AF27" s="117"/>
      <c r="AG27" s="117"/>
      <c r="AH27" s="118"/>
      <c r="AI27" s="116"/>
      <c r="AJ27" s="117"/>
      <c r="AK27" s="117"/>
      <c r="AL27" s="118"/>
      <c r="AM27" s="116"/>
      <c r="AN27" s="120">
        <f>IF(ISNUMBER(FIND(AM$13,$G27)),$I27,IF(ISNUMBER(FIND(AM$13,$H27)),$J27,""))</f>
        <v>150</v>
      </c>
      <c r="AO27" s="117"/>
      <c r="AP27" s="118"/>
      <c r="AQ27" s="116"/>
      <c r="AR27" s="117"/>
      <c r="AS27" s="117"/>
      <c r="AT27" s="118"/>
      <c r="AU27" s="116"/>
      <c r="AV27" s="117"/>
      <c r="AW27" s="117"/>
      <c r="AX27" s="118"/>
      <c r="AY27" s="116"/>
      <c r="AZ27" s="117"/>
      <c r="BA27" s="117"/>
      <c r="BB27" s="118"/>
      <c r="BC27" s="116"/>
      <c r="BD27" s="117"/>
      <c r="BE27" s="117"/>
      <c r="BF27" s="118"/>
    </row>
    <row r="28" spans="2:70" x14ac:dyDescent="0.3">
      <c r="B28" s="731"/>
      <c r="C28" s="543"/>
      <c r="D28" s="723"/>
      <c r="E28" s="559" t="s">
        <v>21</v>
      </c>
      <c r="F28" s="560"/>
      <c r="G28" s="205" t="s">
        <v>6</v>
      </c>
      <c r="H28" s="206" t="s">
        <v>8</v>
      </c>
      <c r="I28" s="207">
        <v>234</v>
      </c>
      <c r="J28" s="207">
        <v>217</v>
      </c>
      <c r="K28" s="116"/>
      <c r="L28" s="117"/>
      <c r="M28" s="117"/>
      <c r="N28" s="118"/>
      <c r="O28" s="116"/>
      <c r="P28" s="117"/>
      <c r="Q28" s="117"/>
      <c r="R28" s="118"/>
      <c r="S28" s="116"/>
      <c r="T28" s="117"/>
      <c r="U28" s="117"/>
      <c r="V28" s="118"/>
      <c r="W28" s="116"/>
      <c r="X28" s="117"/>
      <c r="Y28" s="117"/>
      <c r="Z28" s="118"/>
      <c r="AA28" s="116"/>
      <c r="AB28" s="117"/>
      <c r="AC28" s="117"/>
      <c r="AD28" s="118"/>
      <c r="AE28" s="116"/>
      <c r="AF28" s="117"/>
      <c r="AG28" s="117"/>
      <c r="AH28" s="118"/>
      <c r="AI28" s="116"/>
      <c r="AJ28" s="120">
        <f>IF(ISNUMBER(FIND(AI$13,$G28)),$I28,IF(ISNUMBER(FIND(AI$13,$H28)),$J28,""))</f>
        <v>234</v>
      </c>
      <c r="AK28" s="117"/>
      <c r="AL28" s="118"/>
      <c r="AM28" s="116"/>
      <c r="AN28" s="117"/>
      <c r="AO28" s="117"/>
      <c r="AP28" s="118"/>
      <c r="AQ28" s="116"/>
      <c r="AR28" s="120">
        <f>IF(ISNUMBER(FIND(AQ$13,$G28)),$I28,IF(ISNUMBER(FIND(AQ$13,$H28)),$J28,""))</f>
        <v>217</v>
      </c>
      <c r="AS28" s="117"/>
      <c r="AT28" s="118"/>
      <c r="AU28" s="116"/>
      <c r="AV28" s="117"/>
      <c r="AW28" s="117"/>
      <c r="AX28" s="118"/>
      <c r="AY28" s="116"/>
      <c r="AZ28" s="117"/>
      <c r="BA28" s="117"/>
      <c r="BB28" s="118"/>
      <c r="BC28" s="116"/>
      <c r="BD28" s="117"/>
      <c r="BE28" s="117"/>
      <c r="BF28" s="118"/>
    </row>
    <row r="29" spans="2:70" x14ac:dyDescent="0.3">
      <c r="B29" s="731"/>
      <c r="C29" s="543"/>
      <c r="D29" s="723"/>
      <c r="E29" s="559" t="s">
        <v>22</v>
      </c>
      <c r="F29" s="560"/>
      <c r="G29" s="205" t="s">
        <v>3</v>
      </c>
      <c r="H29" s="206" t="s">
        <v>5</v>
      </c>
      <c r="I29" s="207">
        <v>199</v>
      </c>
      <c r="J29" s="207">
        <v>224</v>
      </c>
      <c r="K29" s="116"/>
      <c r="L29" s="117"/>
      <c r="M29" s="117"/>
      <c r="N29" s="118"/>
      <c r="O29" s="116"/>
      <c r="P29" s="117"/>
      <c r="Q29" s="117"/>
      <c r="R29" s="118"/>
      <c r="S29" s="116"/>
      <c r="T29" s="117"/>
      <c r="U29" s="117"/>
      <c r="V29" s="118"/>
      <c r="W29" s="116"/>
      <c r="X29" s="120">
        <f>IF(ISNUMBER(FIND(W$13,$G29)),$I29,IF(ISNUMBER(FIND(W$13,$H29)),$J29,""))</f>
        <v>199</v>
      </c>
      <c r="Y29" s="117"/>
      <c r="Z29" s="118"/>
      <c r="AA29" s="116"/>
      <c r="AB29" s="117"/>
      <c r="AC29" s="117"/>
      <c r="AD29" s="118"/>
      <c r="AE29" s="116"/>
      <c r="AF29" s="120">
        <f>IF(ISNUMBER(FIND(AE$13,$G29)),$I29,IF(ISNUMBER(FIND(AE$13,$H29)),$J29,""))</f>
        <v>224</v>
      </c>
      <c r="AG29" s="117"/>
      <c r="AH29" s="118"/>
      <c r="AI29" s="116"/>
      <c r="AJ29" s="117"/>
      <c r="AK29" s="117"/>
      <c r="AL29" s="118"/>
      <c r="AM29" s="116"/>
      <c r="AN29" s="117"/>
      <c r="AO29" s="117"/>
      <c r="AP29" s="118"/>
      <c r="AQ29" s="116"/>
      <c r="AR29" s="117"/>
      <c r="AS29" s="117"/>
      <c r="AT29" s="118"/>
      <c r="AU29" s="116"/>
      <c r="AV29" s="117"/>
      <c r="AW29" s="117"/>
      <c r="AX29" s="118"/>
      <c r="AY29" s="116"/>
      <c r="AZ29" s="117"/>
      <c r="BA29" s="117"/>
      <c r="BB29" s="118"/>
      <c r="BC29" s="116"/>
      <c r="BD29" s="117"/>
      <c r="BE29" s="117"/>
      <c r="BF29" s="118"/>
    </row>
    <row r="30" spans="2:70" x14ac:dyDescent="0.3">
      <c r="B30" s="731"/>
      <c r="C30" s="543"/>
      <c r="D30" s="723"/>
      <c r="E30" s="559" t="s">
        <v>23</v>
      </c>
      <c r="F30" s="560"/>
      <c r="G30" s="205" t="s">
        <v>2</v>
      </c>
      <c r="H30" s="206" t="s">
        <v>9</v>
      </c>
      <c r="I30" s="207">
        <v>214</v>
      </c>
      <c r="J30" s="207">
        <v>234</v>
      </c>
      <c r="K30" s="116"/>
      <c r="L30" s="117"/>
      <c r="M30" s="117"/>
      <c r="N30" s="118"/>
      <c r="O30" s="116"/>
      <c r="P30" s="117"/>
      <c r="Q30" s="117"/>
      <c r="R30" s="118"/>
      <c r="S30" s="116"/>
      <c r="T30" s="120">
        <f>IF(ISNUMBER(FIND(S$13,$G30)),$I30,IF(ISNUMBER(FIND(S$13,$H30)),$J30,""))</f>
        <v>214</v>
      </c>
      <c r="U30" s="117"/>
      <c r="V30" s="118"/>
      <c r="W30" s="116"/>
      <c r="X30" s="117"/>
      <c r="Y30" s="117"/>
      <c r="Z30" s="118"/>
      <c r="AA30" s="116"/>
      <c r="AB30" s="117"/>
      <c r="AC30" s="117"/>
      <c r="AD30" s="118"/>
      <c r="AE30" s="116"/>
      <c r="AF30" s="117"/>
      <c r="AG30" s="117"/>
      <c r="AH30" s="118"/>
      <c r="AI30" s="116"/>
      <c r="AJ30" s="117"/>
      <c r="AK30" s="117"/>
      <c r="AL30" s="118"/>
      <c r="AM30" s="116"/>
      <c r="AN30" s="117"/>
      <c r="AO30" s="117"/>
      <c r="AP30" s="118"/>
      <c r="AQ30" s="116"/>
      <c r="AR30" s="117"/>
      <c r="AS30" s="117"/>
      <c r="AT30" s="118"/>
      <c r="AU30" s="116"/>
      <c r="AV30" s="120">
        <f>IF(ISNUMBER(FIND(AU$13,$G30)),$I30,IF(ISNUMBER(FIND(AU$13,$H30)),$J30,""))</f>
        <v>234</v>
      </c>
      <c r="AW30" s="117"/>
      <c r="AX30" s="118"/>
      <c r="AY30" s="116"/>
      <c r="AZ30" s="117"/>
      <c r="BA30" s="117"/>
      <c r="BB30" s="118"/>
      <c r="BC30" s="116"/>
      <c r="BD30" s="117"/>
      <c r="BE30" s="117"/>
      <c r="BF30" s="118"/>
    </row>
    <row r="31" spans="2:70" ht="14.5" thickBot="1" x14ac:dyDescent="0.35">
      <c r="B31" s="731"/>
      <c r="C31" s="543"/>
      <c r="D31" s="723"/>
      <c r="E31" s="559" t="s">
        <v>24</v>
      </c>
      <c r="F31" s="560"/>
      <c r="G31" s="208" t="s">
        <v>7</v>
      </c>
      <c r="H31" s="209" t="s">
        <v>9</v>
      </c>
      <c r="I31" s="210">
        <v>215</v>
      </c>
      <c r="J31" s="210">
        <v>219</v>
      </c>
      <c r="K31" s="116"/>
      <c r="L31" s="117"/>
      <c r="M31" s="117"/>
      <c r="N31" s="118"/>
      <c r="O31" s="116"/>
      <c r="P31" s="117"/>
      <c r="Q31" s="117"/>
      <c r="R31" s="118"/>
      <c r="S31" s="116"/>
      <c r="T31" s="117"/>
      <c r="U31" s="117"/>
      <c r="V31" s="118"/>
      <c r="W31" s="116"/>
      <c r="X31" s="117"/>
      <c r="Y31" s="117"/>
      <c r="Z31" s="118"/>
      <c r="AA31" s="116"/>
      <c r="AB31" s="117"/>
      <c r="AC31" s="117"/>
      <c r="AD31" s="118"/>
      <c r="AE31" s="116"/>
      <c r="AF31" s="117"/>
      <c r="AG31" s="117"/>
      <c r="AH31" s="118"/>
      <c r="AI31" s="116"/>
      <c r="AJ31" s="117"/>
      <c r="AK31" s="117"/>
      <c r="AL31" s="118"/>
      <c r="AM31" s="116"/>
      <c r="AN31" s="120">
        <f>IF(ISNUMBER(FIND(AM$13,$G31)),$I31,IF(ISNUMBER(FIND(AM$13,$H31)),$J31,""))</f>
        <v>215</v>
      </c>
      <c r="AO31" s="117"/>
      <c r="AP31" s="118"/>
      <c r="AQ31" s="116"/>
      <c r="AR31" s="117"/>
      <c r="AS31" s="117"/>
      <c r="AT31" s="118"/>
      <c r="AU31" s="116"/>
      <c r="AV31" s="120">
        <f>IF(ISNUMBER(FIND(AU$13,$G31)),$I31,IF(ISNUMBER(FIND(AU$13,$H31)),$J31,""))</f>
        <v>219</v>
      </c>
      <c r="AW31" s="117"/>
      <c r="AX31" s="118"/>
      <c r="AY31" s="116"/>
      <c r="AZ31" s="117"/>
      <c r="BA31" s="117"/>
      <c r="BB31" s="118"/>
      <c r="BC31" s="116"/>
      <c r="BD31" s="117"/>
      <c r="BE31" s="117"/>
      <c r="BF31" s="118"/>
    </row>
    <row r="32" spans="2:70" x14ac:dyDescent="0.3">
      <c r="B32" s="731"/>
      <c r="C32" s="543"/>
      <c r="D32" s="722" t="s">
        <v>243</v>
      </c>
      <c r="E32" s="703" t="s">
        <v>17</v>
      </c>
      <c r="F32" s="704"/>
      <c r="G32" s="202" t="s">
        <v>0</v>
      </c>
      <c r="H32" s="203" t="s">
        <v>4</v>
      </c>
      <c r="I32" s="186">
        <f>I24/MAX($I24:$J24)*210</f>
        <v>204.63829787234042</v>
      </c>
      <c r="J32" s="187">
        <f t="shared" ref="J32:J39" si="1">J24/MAX($I24:$J24)*210</f>
        <v>210</v>
      </c>
      <c r="K32" s="133"/>
      <c r="L32" s="134">
        <f>L24/MAX($K24:$BF24)*210</f>
        <v>204.63829787234042</v>
      </c>
      <c r="M32" s="135"/>
      <c r="N32" s="136"/>
      <c r="O32" s="133"/>
      <c r="P32" s="135"/>
      <c r="Q32" s="135"/>
      <c r="R32" s="136"/>
      <c r="S32" s="133"/>
      <c r="T32" s="135"/>
      <c r="U32" s="135"/>
      <c r="V32" s="136"/>
      <c r="W32" s="133"/>
      <c r="X32" s="135"/>
      <c r="Y32" s="135"/>
      <c r="Z32" s="136"/>
      <c r="AA32" s="133"/>
      <c r="AB32" s="134">
        <f>AB24/MAX($K24:$BF24)*210</f>
        <v>210</v>
      </c>
      <c r="AC32" s="135"/>
      <c r="AD32" s="136"/>
      <c r="AE32" s="133"/>
      <c r="AF32" s="135"/>
      <c r="AG32" s="135"/>
      <c r="AH32" s="136"/>
      <c r="AI32" s="133"/>
      <c r="AJ32" s="135"/>
      <c r="AK32" s="135"/>
      <c r="AL32" s="136"/>
      <c r="AM32" s="133"/>
      <c r="AN32" s="135"/>
      <c r="AO32" s="135"/>
      <c r="AP32" s="136"/>
      <c r="AQ32" s="133"/>
      <c r="AR32" s="135"/>
      <c r="AS32" s="135"/>
      <c r="AT32" s="136"/>
      <c r="AU32" s="133"/>
      <c r="AV32" s="135"/>
      <c r="AW32" s="135"/>
      <c r="AX32" s="136"/>
      <c r="AY32" s="133"/>
      <c r="AZ32" s="135"/>
      <c r="BA32" s="135"/>
      <c r="BB32" s="136"/>
      <c r="BC32" s="133"/>
      <c r="BD32" s="135"/>
      <c r="BE32" s="135"/>
      <c r="BF32" s="136"/>
    </row>
    <row r="33" spans="2:70" x14ac:dyDescent="0.3">
      <c r="B33" s="731"/>
      <c r="C33" s="543"/>
      <c r="D33" s="723"/>
      <c r="E33" s="559" t="s">
        <v>18</v>
      </c>
      <c r="F33" s="560"/>
      <c r="G33" s="205" t="s">
        <v>6</v>
      </c>
      <c r="H33" s="206" t="s">
        <v>11</v>
      </c>
      <c r="I33" s="188">
        <f t="shared" ref="I33" si="2">I25/MAX($I25:$J25)*210</f>
        <v>210</v>
      </c>
      <c r="J33" s="189">
        <f t="shared" si="1"/>
        <v>183.85892116182572</v>
      </c>
      <c r="K33" s="137"/>
      <c r="L33" s="138"/>
      <c r="M33" s="138"/>
      <c r="N33" s="139"/>
      <c r="O33" s="137"/>
      <c r="P33" s="138"/>
      <c r="Q33" s="138"/>
      <c r="R33" s="139"/>
      <c r="S33" s="137"/>
      <c r="T33" s="138"/>
      <c r="U33" s="138"/>
      <c r="V33" s="139"/>
      <c r="W33" s="137"/>
      <c r="X33" s="138"/>
      <c r="Y33" s="138"/>
      <c r="Z33" s="139"/>
      <c r="AA33" s="137"/>
      <c r="AB33" s="138"/>
      <c r="AC33" s="138"/>
      <c r="AD33" s="139"/>
      <c r="AE33" s="137"/>
      <c r="AF33" s="138"/>
      <c r="AG33" s="138"/>
      <c r="AH33" s="139"/>
      <c r="AI33" s="137"/>
      <c r="AJ33" s="140">
        <f>AJ25/MAX($K25:$BF25)*210</f>
        <v>210</v>
      </c>
      <c r="AK33" s="138"/>
      <c r="AL33" s="139"/>
      <c r="AM33" s="137"/>
      <c r="AN33" s="138"/>
      <c r="AO33" s="138"/>
      <c r="AP33" s="139"/>
      <c r="AQ33" s="137"/>
      <c r="AR33" s="138"/>
      <c r="AS33" s="138"/>
      <c r="AT33" s="139"/>
      <c r="AU33" s="137"/>
      <c r="AV33" s="138"/>
      <c r="AW33" s="138"/>
      <c r="AX33" s="139"/>
      <c r="AY33" s="137"/>
      <c r="AZ33" s="138"/>
      <c r="BA33" s="138"/>
      <c r="BB33" s="139"/>
      <c r="BC33" s="137"/>
      <c r="BD33" s="140">
        <f>BD25/MAX($K25:$BF25)*210</f>
        <v>183.85892116182572</v>
      </c>
      <c r="BE33" s="138"/>
      <c r="BF33" s="139"/>
    </row>
    <row r="34" spans="2:70" x14ac:dyDescent="0.3">
      <c r="B34" s="731"/>
      <c r="C34" s="543"/>
      <c r="D34" s="723"/>
      <c r="E34" s="559" t="s">
        <v>19</v>
      </c>
      <c r="F34" s="560"/>
      <c r="G34" s="205" t="s">
        <v>1</v>
      </c>
      <c r="H34" s="206" t="s">
        <v>7</v>
      </c>
      <c r="I34" s="188">
        <f t="shared" ref="I34" si="3">I26/MAX($I26:$J26)*210</f>
        <v>210</v>
      </c>
      <c r="J34" s="189">
        <f t="shared" si="1"/>
        <v>135.48387096774192</v>
      </c>
      <c r="K34" s="137"/>
      <c r="L34" s="138"/>
      <c r="M34" s="138"/>
      <c r="N34" s="139"/>
      <c r="O34" s="137"/>
      <c r="P34" s="140">
        <f>P26/MAX($K26:$BF26)*210</f>
        <v>210</v>
      </c>
      <c r="Q34" s="138"/>
      <c r="R34" s="139"/>
      <c r="S34" s="137"/>
      <c r="T34" s="138"/>
      <c r="U34" s="138"/>
      <c r="V34" s="139"/>
      <c r="W34" s="137"/>
      <c r="X34" s="138"/>
      <c r="Y34" s="138"/>
      <c r="Z34" s="139"/>
      <c r="AA34" s="137"/>
      <c r="AB34" s="138"/>
      <c r="AC34" s="138"/>
      <c r="AD34" s="139"/>
      <c r="AE34" s="137"/>
      <c r="AF34" s="138"/>
      <c r="AG34" s="138"/>
      <c r="AH34" s="139"/>
      <c r="AI34" s="137"/>
      <c r="AJ34" s="138"/>
      <c r="AK34" s="138"/>
      <c r="AL34" s="139"/>
      <c r="AM34" s="137"/>
      <c r="AN34" s="140">
        <f>AN26/MAX($K26:$BF26)*210</f>
        <v>135.48387096774192</v>
      </c>
      <c r="AO34" s="138"/>
      <c r="AP34" s="139"/>
      <c r="AQ34" s="137"/>
      <c r="AR34" s="138"/>
      <c r="AS34" s="138"/>
      <c r="AT34" s="139"/>
      <c r="AU34" s="137"/>
      <c r="AV34" s="138"/>
      <c r="AW34" s="138"/>
      <c r="AX34" s="139"/>
      <c r="AY34" s="137"/>
      <c r="AZ34" s="138"/>
      <c r="BA34" s="138"/>
      <c r="BB34" s="139"/>
      <c r="BC34" s="137"/>
      <c r="BD34" s="138"/>
      <c r="BE34" s="138"/>
      <c r="BF34" s="139"/>
    </row>
    <row r="35" spans="2:70" x14ac:dyDescent="0.3">
      <c r="B35" s="731"/>
      <c r="C35" s="543"/>
      <c r="D35" s="723"/>
      <c r="E35" s="559" t="s">
        <v>20</v>
      </c>
      <c r="F35" s="560"/>
      <c r="G35" s="205" t="s">
        <v>2</v>
      </c>
      <c r="H35" s="206" t="s">
        <v>7</v>
      </c>
      <c r="I35" s="188">
        <f t="shared" ref="I35" si="4">I27/MAX($I27:$J27)*210</f>
        <v>210</v>
      </c>
      <c r="J35" s="189">
        <f t="shared" si="1"/>
        <v>149.28909952606637</v>
      </c>
      <c r="K35" s="137"/>
      <c r="L35" s="138"/>
      <c r="M35" s="138"/>
      <c r="N35" s="139"/>
      <c r="O35" s="137"/>
      <c r="P35" s="138"/>
      <c r="Q35" s="138"/>
      <c r="R35" s="139"/>
      <c r="S35" s="137"/>
      <c r="T35" s="140">
        <f>T27/MAX($K27:$BF27)*210</f>
        <v>210</v>
      </c>
      <c r="U35" s="138"/>
      <c r="V35" s="139"/>
      <c r="W35" s="137"/>
      <c r="X35" s="138"/>
      <c r="Y35" s="138"/>
      <c r="Z35" s="139"/>
      <c r="AA35" s="137"/>
      <c r="AB35" s="138"/>
      <c r="AC35" s="138"/>
      <c r="AD35" s="139"/>
      <c r="AE35" s="137"/>
      <c r="AF35" s="138"/>
      <c r="AG35" s="138"/>
      <c r="AH35" s="139"/>
      <c r="AI35" s="137"/>
      <c r="AJ35" s="138"/>
      <c r="AK35" s="138"/>
      <c r="AL35" s="139"/>
      <c r="AM35" s="137"/>
      <c r="AN35" s="140">
        <f>AN27/MAX($K27:$BF27)*210</f>
        <v>149.28909952606637</v>
      </c>
      <c r="AO35" s="138"/>
      <c r="AP35" s="139"/>
      <c r="AQ35" s="137"/>
      <c r="AR35" s="138"/>
      <c r="AS35" s="138"/>
      <c r="AT35" s="139"/>
      <c r="AU35" s="137"/>
      <c r="AV35" s="138"/>
      <c r="AW35" s="138"/>
      <c r="AX35" s="139"/>
      <c r="AY35" s="137"/>
      <c r="AZ35" s="138"/>
      <c r="BA35" s="138"/>
      <c r="BB35" s="139"/>
      <c r="BC35" s="137"/>
      <c r="BD35" s="138"/>
      <c r="BE35" s="138"/>
      <c r="BF35" s="139"/>
    </row>
    <row r="36" spans="2:70" x14ac:dyDescent="0.3">
      <c r="B36" s="731"/>
      <c r="C36" s="543"/>
      <c r="D36" s="723"/>
      <c r="E36" s="559" t="s">
        <v>21</v>
      </c>
      <c r="F36" s="560"/>
      <c r="G36" s="205" t="s">
        <v>6</v>
      </c>
      <c r="H36" s="206" t="s">
        <v>8</v>
      </c>
      <c r="I36" s="188">
        <f t="shared" ref="I36" si="5">I28/MAX($I28:$J28)*210</f>
        <v>210</v>
      </c>
      <c r="J36" s="189">
        <f t="shared" si="1"/>
        <v>194.74358974358975</v>
      </c>
      <c r="K36" s="137"/>
      <c r="L36" s="138"/>
      <c r="M36" s="138"/>
      <c r="N36" s="139"/>
      <c r="O36" s="137"/>
      <c r="P36" s="138"/>
      <c r="Q36" s="138"/>
      <c r="R36" s="139"/>
      <c r="S36" s="137"/>
      <c r="T36" s="138"/>
      <c r="U36" s="138"/>
      <c r="V36" s="139"/>
      <c r="W36" s="137"/>
      <c r="X36" s="138"/>
      <c r="Y36" s="138"/>
      <c r="Z36" s="139"/>
      <c r="AA36" s="137"/>
      <c r="AB36" s="138"/>
      <c r="AC36" s="138"/>
      <c r="AD36" s="139"/>
      <c r="AE36" s="137"/>
      <c r="AF36" s="138"/>
      <c r="AG36" s="138"/>
      <c r="AH36" s="139"/>
      <c r="AI36" s="137"/>
      <c r="AJ36" s="140">
        <f>AJ28/MAX($K28:$BF28)*210</f>
        <v>210</v>
      </c>
      <c r="AK36" s="138"/>
      <c r="AL36" s="139"/>
      <c r="AM36" s="137"/>
      <c r="AN36" s="138"/>
      <c r="AO36" s="138"/>
      <c r="AP36" s="139"/>
      <c r="AQ36" s="137"/>
      <c r="AR36" s="140">
        <f>AR28/MAX($K28:$BF28)*210</f>
        <v>194.74358974358975</v>
      </c>
      <c r="AS36" s="138"/>
      <c r="AT36" s="139"/>
      <c r="AU36" s="137"/>
      <c r="AV36" s="138"/>
      <c r="AW36" s="138"/>
      <c r="AX36" s="139"/>
      <c r="AY36" s="137"/>
      <c r="AZ36" s="138"/>
      <c r="BA36" s="138"/>
      <c r="BB36" s="139"/>
      <c r="BC36" s="137"/>
      <c r="BD36" s="138"/>
      <c r="BE36" s="138"/>
      <c r="BF36" s="139"/>
    </row>
    <row r="37" spans="2:70" x14ac:dyDescent="0.3">
      <c r="B37" s="731"/>
      <c r="C37" s="543"/>
      <c r="D37" s="723"/>
      <c r="E37" s="559" t="s">
        <v>22</v>
      </c>
      <c r="F37" s="560"/>
      <c r="G37" s="205" t="s">
        <v>3</v>
      </c>
      <c r="H37" s="206" t="s">
        <v>5</v>
      </c>
      <c r="I37" s="188">
        <f t="shared" ref="I37" si="6">I29/MAX($I29:$J29)*210</f>
        <v>186.5625</v>
      </c>
      <c r="J37" s="189">
        <f t="shared" si="1"/>
        <v>210</v>
      </c>
      <c r="K37" s="137"/>
      <c r="L37" s="138"/>
      <c r="M37" s="138"/>
      <c r="N37" s="139"/>
      <c r="O37" s="137"/>
      <c r="P37" s="138"/>
      <c r="Q37" s="138"/>
      <c r="R37" s="139"/>
      <c r="S37" s="137"/>
      <c r="T37" s="138"/>
      <c r="U37" s="138"/>
      <c r="V37" s="139"/>
      <c r="W37" s="137"/>
      <c r="X37" s="140">
        <f>X29/MAX($K29:$BF29)*210</f>
        <v>186.5625</v>
      </c>
      <c r="Y37" s="138"/>
      <c r="Z37" s="139"/>
      <c r="AA37" s="137"/>
      <c r="AB37" s="138"/>
      <c r="AC37" s="138"/>
      <c r="AD37" s="139"/>
      <c r="AE37" s="137"/>
      <c r="AF37" s="140">
        <f>AF29/MAX($K29:$BF29)*210</f>
        <v>210</v>
      </c>
      <c r="AG37" s="138"/>
      <c r="AH37" s="139"/>
      <c r="AI37" s="137"/>
      <c r="AJ37" s="138"/>
      <c r="AK37" s="138"/>
      <c r="AL37" s="139"/>
      <c r="AM37" s="137"/>
      <c r="AN37" s="138"/>
      <c r="AO37" s="138"/>
      <c r="AP37" s="139"/>
      <c r="AQ37" s="137"/>
      <c r="AR37" s="138"/>
      <c r="AS37" s="138"/>
      <c r="AT37" s="139"/>
      <c r="AU37" s="137"/>
      <c r="AV37" s="138"/>
      <c r="AW37" s="138"/>
      <c r="AX37" s="139"/>
      <c r="AY37" s="137"/>
      <c r="AZ37" s="138"/>
      <c r="BA37" s="138"/>
      <c r="BB37" s="139"/>
      <c r="BC37" s="137"/>
      <c r="BD37" s="138"/>
      <c r="BE37" s="138"/>
      <c r="BF37" s="139"/>
    </row>
    <row r="38" spans="2:70" x14ac:dyDescent="0.3">
      <c r="B38" s="731"/>
      <c r="C38" s="543"/>
      <c r="D38" s="723"/>
      <c r="E38" s="559" t="s">
        <v>23</v>
      </c>
      <c r="F38" s="560"/>
      <c r="G38" s="205" t="s">
        <v>2</v>
      </c>
      <c r="H38" s="206" t="s">
        <v>9</v>
      </c>
      <c r="I38" s="188">
        <f t="shared" ref="I38" si="7">I30/MAX($I30:$J30)*210</f>
        <v>192.05128205128204</v>
      </c>
      <c r="J38" s="189">
        <f t="shared" si="1"/>
        <v>210</v>
      </c>
      <c r="K38" s="137"/>
      <c r="L38" s="138"/>
      <c r="M38" s="138"/>
      <c r="N38" s="139"/>
      <c r="O38" s="137"/>
      <c r="P38" s="138"/>
      <c r="Q38" s="138"/>
      <c r="R38" s="139"/>
      <c r="S38" s="137"/>
      <c r="T38" s="140">
        <f>T30/MAX($K30:$BF30)*210</f>
        <v>192.05128205128204</v>
      </c>
      <c r="U38" s="138"/>
      <c r="V38" s="139"/>
      <c r="W38" s="137"/>
      <c r="X38" s="138"/>
      <c r="Y38" s="138"/>
      <c r="Z38" s="139"/>
      <c r="AA38" s="137"/>
      <c r="AB38" s="138"/>
      <c r="AC38" s="138"/>
      <c r="AD38" s="139"/>
      <c r="AE38" s="137"/>
      <c r="AF38" s="138"/>
      <c r="AG38" s="138"/>
      <c r="AH38" s="139"/>
      <c r="AI38" s="137"/>
      <c r="AJ38" s="138"/>
      <c r="AK38" s="138"/>
      <c r="AL38" s="139"/>
      <c r="AM38" s="137"/>
      <c r="AN38" s="138"/>
      <c r="AO38" s="138"/>
      <c r="AP38" s="139"/>
      <c r="AQ38" s="137"/>
      <c r="AR38" s="138"/>
      <c r="AS38" s="138"/>
      <c r="AT38" s="139"/>
      <c r="AU38" s="137"/>
      <c r="AV38" s="140">
        <f>AV30/MAX($K30:$BF30)*210</f>
        <v>210</v>
      </c>
      <c r="AW38" s="138"/>
      <c r="AX38" s="139"/>
      <c r="AY38" s="137"/>
      <c r="AZ38" s="138"/>
      <c r="BA38" s="138"/>
      <c r="BB38" s="139"/>
      <c r="BC38" s="137"/>
      <c r="BD38" s="138"/>
      <c r="BE38" s="138"/>
      <c r="BF38" s="139"/>
    </row>
    <row r="39" spans="2:70" ht="14.5" thickBot="1" x14ac:dyDescent="0.35">
      <c r="B39" s="731"/>
      <c r="C39" s="543"/>
      <c r="D39" s="723"/>
      <c r="E39" s="559" t="s">
        <v>24</v>
      </c>
      <c r="F39" s="560"/>
      <c r="G39" s="208" t="s">
        <v>7</v>
      </c>
      <c r="H39" s="209" t="s">
        <v>9</v>
      </c>
      <c r="I39" s="248">
        <f t="shared" ref="I39" si="8">I31/MAX($I31:$J31)*210</f>
        <v>206.16438356164383</v>
      </c>
      <c r="J39" s="249">
        <f t="shared" si="1"/>
        <v>210</v>
      </c>
      <c r="K39" s="141"/>
      <c r="L39" s="142"/>
      <c r="M39" s="142"/>
      <c r="N39" s="143"/>
      <c r="O39" s="141"/>
      <c r="P39" s="142"/>
      <c r="Q39" s="142"/>
      <c r="R39" s="143"/>
      <c r="S39" s="141"/>
      <c r="T39" s="142"/>
      <c r="U39" s="142"/>
      <c r="V39" s="143"/>
      <c r="W39" s="141"/>
      <c r="X39" s="142"/>
      <c r="Y39" s="142"/>
      <c r="Z39" s="143"/>
      <c r="AA39" s="141"/>
      <c r="AB39" s="142"/>
      <c r="AC39" s="142"/>
      <c r="AD39" s="143"/>
      <c r="AE39" s="141"/>
      <c r="AF39" s="142"/>
      <c r="AG39" s="142"/>
      <c r="AH39" s="143"/>
      <c r="AI39" s="141"/>
      <c r="AJ39" s="144"/>
      <c r="AK39" s="142"/>
      <c r="AL39" s="143"/>
      <c r="AM39" s="141"/>
      <c r="AN39" s="145">
        <f>AN31/MAX($K31:$BE31)*210</f>
        <v>206.16438356164383</v>
      </c>
      <c r="AO39" s="142"/>
      <c r="AP39" s="143"/>
      <c r="AQ39" s="141"/>
      <c r="AR39" s="142"/>
      <c r="AS39" s="142"/>
      <c r="AT39" s="143"/>
      <c r="AU39" s="141"/>
      <c r="AV39" s="146">
        <f>AV31/MAX($K31:$BF31)*210</f>
        <v>210</v>
      </c>
      <c r="AW39" s="142"/>
      <c r="AX39" s="143"/>
      <c r="AY39" s="141"/>
      <c r="AZ39" s="142"/>
      <c r="BA39" s="142"/>
      <c r="BB39" s="143"/>
      <c r="BC39" s="141"/>
      <c r="BD39" s="142"/>
      <c r="BE39" s="142"/>
      <c r="BF39" s="143"/>
    </row>
    <row r="40" spans="2:70" ht="15" customHeight="1" x14ac:dyDescent="0.3">
      <c r="B40" s="731"/>
      <c r="C40" s="543"/>
      <c r="D40" s="695" t="s">
        <v>242</v>
      </c>
      <c r="E40" s="705" t="s">
        <v>17</v>
      </c>
      <c r="F40" s="706"/>
      <c r="G40" s="211" t="s">
        <v>2</v>
      </c>
      <c r="H40" s="212" t="s">
        <v>6</v>
      </c>
      <c r="I40" s="213">
        <v>14</v>
      </c>
      <c r="J40" s="214">
        <v>2</v>
      </c>
      <c r="K40" s="147"/>
      <c r="L40" s="148"/>
      <c r="M40" s="148"/>
      <c r="N40" s="149"/>
      <c r="O40" s="150"/>
      <c r="P40" s="148"/>
      <c r="Q40" s="148"/>
      <c r="R40" s="149"/>
      <c r="S40" s="150"/>
      <c r="T40" s="148"/>
      <c r="U40" s="151">
        <f>IF(ISNUMBER(FIND(S$13,$G40)),$I40,IF(ISNUMBER(FIND(S$13,$H40)),$J40,""))</f>
        <v>14</v>
      </c>
      <c r="V40" s="149"/>
      <c r="W40" s="150"/>
      <c r="X40" s="148"/>
      <c r="Y40" s="148"/>
      <c r="Z40" s="149"/>
      <c r="AA40" s="150"/>
      <c r="AB40" s="148"/>
      <c r="AC40" s="148"/>
      <c r="AD40" s="149"/>
      <c r="AE40" s="150"/>
      <c r="AF40" s="148"/>
      <c r="AG40" s="148"/>
      <c r="AH40" s="149"/>
      <c r="AI40" s="150"/>
      <c r="AJ40" s="148"/>
      <c r="AK40" s="151">
        <f>IF(ISNUMBER(FIND(AI$13,$G40)),$I40,IF(ISNUMBER(FIND(AI$13,$H40)),$J40,""))</f>
        <v>2</v>
      </c>
      <c r="AL40" s="149"/>
      <c r="AM40" s="150"/>
      <c r="AN40" s="148"/>
      <c r="AO40" s="148"/>
      <c r="AP40" s="149"/>
      <c r="AQ40" s="150"/>
      <c r="AR40" s="148"/>
      <c r="AS40" s="148"/>
      <c r="AT40" s="149"/>
      <c r="AU40" s="150"/>
      <c r="AV40" s="148"/>
      <c r="AW40" s="148"/>
      <c r="AX40" s="149"/>
      <c r="AY40" s="150"/>
      <c r="AZ40" s="148"/>
      <c r="BA40" s="148"/>
      <c r="BB40" s="149"/>
      <c r="BC40" s="150"/>
      <c r="BD40" s="148"/>
      <c r="BE40" s="148"/>
      <c r="BF40" s="149"/>
      <c r="BH40">
        <v>9</v>
      </c>
      <c r="BI40" t="s">
        <v>35</v>
      </c>
      <c r="BL40" t="s">
        <v>40</v>
      </c>
      <c r="BN40" t="s">
        <v>50</v>
      </c>
      <c r="BP40" s="8" t="s">
        <v>58</v>
      </c>
      <c r="BR40" t="s">
        <v>65</v>
      </c>
    </row>
    <row r="41" spans="2:70" x14ac:dyDescent="0.3">
      <c r="B41" s="731"/>
      <c r="C41" s="543"/>
      <c r="D41" s="696"/>
      <c r="E41" s="697" t="s">
        <v>18</v>
      </c>
      <c r="F41" s="698"/>
      <c r="G41" s="215" t="s">
        <v>3</v>
      </c>
      <c r="H41" s="216" t="s">
        <v>8</v>
      </c>
      <c r="I41" s="213">
        <v>14</v>
      </c>
      <c r="J41" s="217">
        <v>11</v>
      </c>
      <c r="K41" s="152"/>
      <c r="L41" s="153"/>
      <c r="M41" s="153"/>
      <c r="N41" s="154"/>
      <c r="O41" s="155"/>
      <c r="P41" s="153"/>
      <c r="Q41" s="153"/>
      <c r="R41" s="154"/>
      <c r="S41" s="155"/>
      <c r="T41" s="153"/>
      <c r="U41" s="153"/>
      <c r="V41" s="154"/>
      <c r="W41" s="155"/>
      <c r="X41" s="153"/>
      <c r="Y41" s="156">
        <f>IF(ISNUMBER(FIND(W$13,$G41)),$I41,IF(ISNUMBER(FIND(W$13,$H41)),$J41,""))</f>
        <v>14</v>
      </c>
      <c r="Z41" s="154"/>
      <c r="AA41" s="155"/>
      <c r="AB41" s="153"/>
      <c r="AC41" s="153"/>
      <c r="AD41" s="154"/>
      <c r="AE41" s="155"/>
      <c r="AF41" s="153"/>
      <c r="AG41" s="153"/>
      <c r="AH41" s="154"/>
      <c r="AI41" s="155"/>
      <c r="AJ41" s="153"/>
      <c r="AK41" s="153"/>
      <c r="AL41" s="154"/>
      <c r="AM41" s="155"/>
      <c r="AN41" s="153"/>
      <c r="AO41" s="153"/>
      <c r="AP41" s="154"/>
      <c r="AQ41" s="155"/>
      <c r="AR41" s="153"/>
      <c r="AS41" s="156">
        <f>IF(ISNUMBER(FIND(AQ$13,$G41)),$I41,IF(ISNUMBER(FIND(AQ$13,$H41)),$J41,""))</f>
        <v>11</v>
      </c>
      <c r="AT41" s="154"/>
      <c r="AU41" s="155"/>
      <c r="AV41" s="153"/>
      <c r="AW41" s="153"/>
      <c r="AX41" s="154"/>
      <c r="AY41" s="155"/>
      <c r="AZ41" s="153"/>
      <c r="BA41" s="153"/>
      <c r="BB41" s="154"/>
      <c r="BC41" s="155"/>
      <c r="BD41" s="153"/>
      <c r="BE41" s="153"/>
      <c r="BF41" s="154"/>
      <c r="BH41">
        <v>4</v>
      </c>
      <c r="BI41" t="s">
        <v>30</v>
      </c>
      <c r="BL41" t="s">
        <v>41</v>
      </c>
      <c r="BN41" t="s">
        <v>51</v>
      </c>
      <c r="BP41" t="s">
        <v>59</v>
      </c>
      <c r="BR41" t="s">
        <v>66</v>
      </c>
    </row>
    <row r="42" spans="2:70" x14ac:dyDescent="0.3">
      <c r="B42" s="731"/>
      <c r="C42" s="543"/>
      <c r="D42" s="696"/>
      <c r="E42" s="697" t="s">
        <v>19</v>
      </c>
      <c r="F42" s="698"/>
      <c r="G42" s="215" t="s">
        <v>10</v>
      </c>
      <c r="H42" s="216" t="s">
        <v>11</v>
      </c>
      <c r="I42" s="213">
        <v>14</v>
      </c>
      <c r="J42" s="217">
        <v>7</v>
      </c>
      <c r="K42" s="152"/>
      <c r="L42" s="153"/>
      <c r="M42" s="153"/>
      <c r="N42" s="154"/>
      <c r="O42" s="155"/>
      <c r="P42" s="153"/>
      <c r="Q42" s="153"/>
      <c r="R42" s="154"/>
      <c r="S42" s="155"/>
      <c r="T42" s="153"/>
      <c r="U42" s="153"/>
      <c r="V42" s="154"/>
      <c r="W42" s="155"/>
      <c r="X42" s="153"/>
      <c r="Y42" s="153"/>
      <c r="Z42" s="154"/>
      <c r="AA42" s="155"/>
      <c r="AB42" s="153"/>
      <c r="AC42" s="153"/>
      <c r="AD42" s="154"/>
      <c r="AE42" s="155"/>
      <c r="AF42" s="153"/>
      <c r="AG42" s="153"/>
      <c r="AH42" s="154"/>
      <c r="AI42" s="155"/>
      <c r="AJ42" s="153"/>
      <c r="AK42" s="153"/>
      <c r="AL42" s="154"/>
      <c r="AM42" s="155"/>
      <c r="AN42" s="153"/>
      <c r="AO42" s="153"/>
      <c r="AP42" s="154"/>
      <c r="AQ42" s="155"/>
      <c r="AR42" s="153"/>
      <c r="AS42" s="153"/>
      <c r="AT42" s="154"/>
      <c r="AU42" s="155"/>
      <c r="AV42" s="153"/>
      <c r="AW42" s="153"/>
      <c r="AX42" s="154"/>
      <c r="AY42" s="155"/>
      <c r="AZ42" s="153"/>
      <c r="BA42" s="156">
        <f>IF(ISNUMBER(FIND(AY$13,$G42)),$I42,IF(ISNUMBER(FIND(AY$13,$H42)),$J42,""))</f>
        <v>14</v>
      </c>
      <c r="BB42" s="154"/>
      <c r="BC42" s="155"/>
      <c r="BD42" s="153"/>
      <c r="BE42" s="156">
        <f>IF(ISNUMBER(FIND(BC$13,$G42)),$I42,IF(ISNUMBER(FIND(BC$13,$H42)),$J42,""))</f>
        <v>7</v>
      </c>
      <c r="BF42" s="154"/>
      <c r="BH42">
        <f>BH40*BH41</f>
        <v>36</v>
      </c>
      <c r="BI42" t="s">
        <v>32</v>
      </c>
      <c r="BL42" t="s">
        <v>42</v>
      </c>
      <c r="BN42" t="s">
        <v>55</v>
      </c>
      <c r="BP42" t="s">
        <v>60</v>
      </c>
      <c r="BR42" t="s">
        <v>67</v>
      </c>
    </row>
    <row r="43" spans="2:70" x14ac:dyDescent="0.3">
      <c r="B43" s="731"/>
      <c r="C43" s="543"/>
      <c r="D43" s="696"/>
      <c r="E43" s="697" t="s">
        <v>20</v>
      </c>
      <c r="F43" s="698"/>
      <c r="G43" s="215" t="s">
        <v>1</v>
      </c>
      <c r="H43" s="216" t="s">
        <v>4</v>
      </c>
      <c r="I43" s="213">
        <v>14</v>
      </c>
      <c r="J43" s="217">
        <v>10</v>
      </c>
      <c r="K43" s="152"/>
      <c r="L43" s="153"/>
      <c r="M43" s="153"/>
      <c r="N43" s="154"/>
      <c r="O43" s="155"/>
      <c r="P43" s="153"/>
      <c r="Q43" s="156">
        <f>IF(ISNUMBER(FIND(O$13,$G43)),$I43,IF(ISNUMBER(FIND(O$13,$H43)),$J43,""))</f>
        <v>14</v>
      </c>
      <c r="R43" s="154"/>
      <c r="S43" s="155"/>
      <c r="T43" s="153"/>
      <c r="U43" s="153"/>
      <c r="V43" s="154"/>
      <c r="W43" s="155"/>
      <c r="X43" s="153"/>
      <c r="Y43" s="153"/>
      <c r="Z43" s="154"/>
      <c r="AA43" s="155"/>
      <c r="AB43" s="153"/>
      <c r="AC43" s="156">
        <f>IF(ISNUMBER(FIND(AA$13,$G43)),$I43,IF(ISNUMBER(FIND(AA$13,$H43)),$J43,""))</f>
        <v>10</v>
      </c>
      <c r="AD43" s="154"/>
      <c r="AE43" s="155"/>
      <c r="AF43" s="153"/>
      <c r="AG43" s="153"/>
      <c r="AH43" s="154"/>
      <c r="AI43" s="155"/>
      <c r="AJ43" s="153"/>
      <c r="AK43" s="153"/>
      <c r="AL43" s="154"/>
      <c r="AM43" s="155"/>
      <c r="AN43" s="153"/>
      <c r="AO43" s="153"/>
      <c r="AP43" s="154"/>
      <c r="AQ43" s="155"/>
      <c r="AR43" s="153"/>
      <c r="AS43" s="153"/>
      <c r="AT43" s="154"/>
      <c r="AU43" s="155"/>
      <c r="AV43" s="153"/>
      <c r="AW43" s="153"/>
      <c r="AX43" s="154"/>
      <c r="AY43" s="155"/>
      <c r="AZ43" s="153"/>
      <c r="BA43" s="153"/>
      <c r="BB43" s="154"/>
      <c r="BC43" s="155"/>
      <c r="BD43" s="153"/>
      <c r="BE43" s="153"/>
      <c r="BF43" s="154"/>
    </row>
    <row r="44" spans="2:70" x14ac:dyDescent="0.3">
      <c r="B44" s="731"/>
      <c r="C44" s="543"/>
      <c r="D44" s="696"/>
      <c r="E44" s="697" t="s">
        <v>21</v>
      </c>
      <c r="F44" s="698"/>
      <c r="G44" s="215" t="s">
        <v>0</v>
      </c>
      <c r="H44" s="216" t="s">
        <v>7</v>
      </c>
      <c r="I44" s="213">
        <v>4</v>
      </c>
      <c r="J44" s="217">
        <v>14</v>
      </c>
      <c r="K44" s="152"/>
      <c r="L44" s="153"/>
      <c r="M44" s="156">
        <f>IF(ISNUMBER(FIND(K$13,$G44)),$I44,IF(ISNUMBER(FIND(K$13,$H44)),$J44,""))</f>
        <v>4</v>
      </c>
      <c r="N44" s="154"/>
      <c r="O44" s="155"/>
      <c r="P44" s="153"/>
      <c r="Q44" s="153"/>
      <c r="R44" s="154"/>
      <c r="S44" s="155"/>
      <c r="T44" s="153"/>
      <c r="U44" s="153"/>
      <c r="V44" s="154"/>
      <c r="W44" s="155"/>
      <c r="X44" s="153"/>
      <c r="Y44" s="153"/>
      <c r="Z44" s="154"/>
      <c r="AA44" s="155"/>
      <c r="AB44" s="153"/>
      <c r="AC44" s="153"/>
      <c r="AD44" s="154"/>
      <c r="AE44" s="155"/>
      <c r="AF44" s="153"/>
      <c r="AG44" s="153"/>
      <c r="AH44" s="154"/>
      <c r="AI44" s="155"/>
      <c r="AJ44" s="153"/>
      <c r="AK44" s="153"/>
      <c r="AL44" s="154"/>
      <c r="AM44" s="155"/>
      <c r="AN44" s="153"/>
      <c r="AO44" s="156">
        <f>IF(ISNUMBER(FIND(AM$13,$G44)),$I44,IF(ISNUMBER(FIND(AM$13,$H44)),$J44,""))</f>
        <v>14</v>
      </c>
      <c r="AP44" s="154"/>
      <c r="AQ44" s="155"/>
      <c r="AR44" s="153"/>
      <c r="AS44" s="153"/>
      <c r="AT44" s="154"/>
      <c r="AU44" s="155"/>
      <c r="AV44" s="153"/>
      <c r="AW44" s="153"/>
      <c r="AX44" s="154"/>
      <c r="AY44" s="155"/>
      <c r="AZ44" s="153"/>
      <c r="BA44" s="153"/>
      <c r="BB44" s="154"/>
      <c r="BC44" s="155"/>
      <c r="BD44" s="153"/>
      <c r="BE44" s="153"/>
      <c r="BF44" s="154"/>
    </row>
    <row r="45" spans="2:70" x14ac:dyDescent="0.3">
      <c r="B45" s="731"/>
      <c r="C45" s="543"/>
      <c r="D45" s="696"/>
      <c r="E45" s="697" t="s">
        <v>22</v>
      </c>
      <c r="F45" s="698"/>
      <c r="G45" s="215" t="s">
        <v>4</v>
      </c>
      <c r="H45" s="216" t="s">
        <v>9</v>
      </c>
      <c r="I45" s="213">
        <v>14</v>
      </c>
      <c r="J45" s="217">
        <v>3</v>
      </c>
      <c r="K45" s="152"/>
      <c r="L45" s="153"/>
      <c r="M45" s="153"/>
      <c r="N45" s="154"/>
      <c r="O45" s="155"/>
      <c r="P45" s="153"/>
      <c r="Q45" s="153"/>
      <c r="R45" s="154"/>
      <c r="S45" s="155"/>
      <c r="T45" s="153"/>
      <c r="U45" s="153"/>
      <c r="V45" s="154"/>
      <c r="W45" s="155"/>
      <c r="X45" s="153"/>
      <c r="Y45" s="153"/>
      <c r="Z45" s="154"/>
      <c r="AA45" s="155"/>
      <c r="AB45" s="153"/>
      <c r="AC45" s="156">
        <f>IF(ISNUMBER(FIND(AA$13,$G45)),$I45,IF(ISNUMBER(FIND(AA$13,$H45)),$J45,""))</f>
        <v>14</v>
      </c>
      <c r="AD45" s="154"/>
      <c r="AE45" s="155"/>
      <c r="AF45" s="153"/>
      <c r="AG45" s="153"/>
      <c r="AH45" s="154"/>
      <c r="AI45" s="155"/>
      <c r="AJ45" s="153"/>
      <c r="AK45" s="153"/>
      <c r="AL45" s="154"/>
      <c r="AM45" s="155"/>
      <c r="AN45" s="153"/>
      <c r="AO45" s="153"/>
      <c r="AP45" s="154"/>
      <c r="AQ45" s="155"/>
      <c r="AR45" s="153"/>
      <c r="AS45" s="153"/>
      <c r="AT45" s="154"/>
      <c r="AU45" s="155"/>
      <c r="AV45" s="153"/>
      <c r="AW45" s="156">
        <f>IF(ISNUMBER(FIND(AU$13,$G45)),$I45,IF(ISNUMBER(FIND(AU$13,$H45)),$J45,""))</f>
        <v>3</v>
      </c>
      <c r="AX45" s="154"/>
      <c r="AY45" s="155"/>
      <c r="AZ45" s="153"/>
      <c r="BA45" s="153"/>
      <c r="BB45" s="154"/>
      <c r="BC45" s="155"/>
      <c r="BD45" s="153"/>
      <c r="BE45" s="153"/>
      <c r="BF45" s="154"/>
    </row>
    <row r="46" spans="2:70" x14ac:dyDescent="0.3">
      <c r="B46" s="731"/>
      <c r="C46" s="543"/>
      <c r="D46" s="696"/>
      <c r="E46" s="697" t="s">
        <v>23</v>
      </c>
      <c r="F46" s="698"/>
      <c r="G46" s="215" t="s">
        <v>1</v>
      </c>
      <c r="H46" s="216" t="s">
        <v>6</v>
      </c>
      <c r="I46" s="213">
        <v>14</v>
      </c>
      <c r="J46" s="217">
        <v>4</v>
      </c>
      <c r="K46" s="152"/>
      <c r="L46" s="153"/>
      <c r="M46" s="153"/>
      <c r="N46" s="154"/>
      <c r="O46" s="155"/>
      <c r="P46" s="153"/>
      <c r="Q46" s="156">
        <f>IF(ISNUMBER(FIND(O$13,$G46)),$I46,IF(ISNUMBER(FIND(O$13,$H46)),$J46,""))</f>
        <v>14</v>
      </c>
      <c r="R46" s="154"/>
      <c r="S46" s="155"/>
      <c r="T46" s="153"/>
      <c r="U46" s="153"/>
      <c r="V46" s="154"/>
      <c r="W46" s="155"/>
      <c r="X46" s="153"/>
      <c r="Y46" s="153"/>
      <c r="Z46" s="154"/>
      <c r="AA46" s="155"/>
      <c r="AB46" s="153"/>
      <c r="AC46" s="153"/>
      <c r="AD46" s="154"/>
      <c r="AE46" s="155"/>
      <c r="AF46" s="153"/>
      <c r="AG46" s="153"/>
      <c r="AH46" s="154"/>
      <c r="AI46" s="155"/>
      <c r="AJ46" s="153"/>
      <c r="AK46" s="156">
        <f>IF(ISNUMBER(FIND(AI$13,$G46)),$I46,IF(ISNUMBER(FIND(AI$13,$H46)),$J46,""))</f>
        <v>4</v>
      </c>
      <c r="AL46" s="154"/>
      <c r="AM46" s="155"/>
      <c r="AN46" s="153"/>
      <c r="AO46" s="153"/>
      <c r="AP46" s="154"/>
      <c r="AQ46" s="155"/>
      <c r="AR46" s="153"/>
      <c r="AS46" s="153"/>
      <c r="AT46" s="154"/>
      <c r="AU46" s="155"/>
      <c r="AV46" s="153"/>
      <c r="AW46" s="153"/>
      <c r="AX46" s="154"/>
      <c r="AY46" s="155"/>
      <c r="AZ46" s="153"/>
      <c r="BA46" s="153"/>
      <c r="BB46" s="154"/>
      <c r="BC46" s="155"/>
      <c r="BD46" s="153"/>
      <c r="BE46" s="153"/>
      <c r="BF46" s="154"/>
    </row>
    <row r="47" spans="2:70" ht="14.5" thickBot="1" x14ac:dyDescent="0.35">
      <c r="B47" s="731"/>
      <c r="C47" s="543"/>
      <c r="D47" s="696"/>
      <c r="E47" s="697" t="s">
        <v>24</v>
      </c>
      <c r="F47" s="698"/>
      <c r="G47" s="218" t="s">
        <v>5</v>
      </c>
      <c r="H47" s="219" t="s">
        <v>8</v>
      </c>
      <c r="I47" s="220">
        <v>12</v>
      </c>
      <c r="J47" s="221">
        <v>14</v>
      </c>
      <c r="K47" s="157"/>
      <c r="L47" s="158"/>
      <c r="M47" s="158"/>
      <c r="N47" s="143"/>
      <c r="O47" s="159"/>
      <c r="P47" s="158"/>
      <c r="Q47" s="158"/>
      <c r="R47" s="143"/>
      <c r="S47" s="159"/>
      <c r="T47" s="158"/>
      <c r="U47" s="158"/>
      <c r="V47" s="143"/>
      <c r="W47" s="159"/>
      <c r="X47" s="158"/>
      <c r="Y47" s="158"/>
      <c r="Z47" s="143"/>
      <c r="AA47" s="159"/>
      <c r="AB47" s="158"/>
      <c r="AC47" s="158"/>
      <c r="AD47" s="143"/>
      <c r="AE47" s="159"/>
      <c r="AF47" s="158"/>
      <c r="AG47" s="160">
        <f>IF(ISNUMBER(FIND(AE$13,$G47)),$I47,IF(ISNUMBER(FIND(AE$13,$H47)),$J47,""))</f>
        <v>12</v>
      </c>
      <c r="AH47" s="143"/>
      <c r="AI47" s="159"/>
      <c r="AJ47" s="158"/>
      <c r="AK47" s="158"/>
      <c r="AL47" s="143"/>
      <c r="AM47" s="159"/>
      <c r="AN47" s="158"/>
      <c r="AO47" s="158"/>
      <c r="AP47" s="143"/>
      <c r="AQ47" s="159"/>
      <c r="AR47" s="158"/>
      <c r="AS47" s="160">
        <f>IF(ISNUMBER(FIND(AQ$13,$G47)),$I47,IF(ISNUMBER(FIND(AQ$13,$H47)),$J47,""))</f>
        <v>14</v>
      </c>
      <c r="AT47" s="143"/>
      <c r="AU47" s="159"/>
      <c r="AV47" s="158"/>
      <c r="AW47" s="158"/>
      <c r="AX47" s="143"/>
      <c r="AY47" s="159"/>
      <c r="AZ47" s="158"/>
      <c r="BA47" s="158"/>
      <c r="BB47" s="143"/>
      <c r="BC47" s="159"/>
      <c r="BD47" s="158"/>
      <c r="BE47" s="158"/>
      <c r="BF47" s="143"/>
    </row>
    <row r="48" spans="2:70" ht="15" customHeight="1" x14ac:dyDescent="0.3">
      <c r="B48" s="731"/>
      <c r="C48" s="543"/>
      <c r="D48" s="746" t="s">
        <v>317</v>
      </c>
      <c r="E48" s="748" t="s">
        <v>17</v>
      </c>
      <c r="F48" s="749"/>
      <c r="G48" s="222" t="s">
        <v>1</v>
      </c>
      <c r="H48" s="223" t="s">
        <v>5</v>
      </c>
      <c r="I48" s="224">
        <v>7</v>
      </c>
      <c r="J48" s="224">
        <v>2</v>
      </c>
      <c r="K48" s="128"/>
      <c r="L48" s="129"/>
      <c r="M48" s="129"/>
      <c r="N48" s="132"/>
      <c r="O48" s="128"/>
      <c r="P48" s="129"/>
      <c r="Q48" s="129"/>
      <c r="R48" s="161">
        <f>IF(ISNUMBER(FIND(O$13,$G48)),$I48,IF(ISNUMBER(FIND(O$13,$H48)),$J48,""))</f>
        <v>7</v>
      </c>
      <c r="S48" s="128"/>
      <c r="T48" s="129"/>
      <c r="U48" s="129"/>
      <c r="V48" s="130"/>
      <c r="W48" s="128"/>
      <c r="X48" s="129"/>
      <c r="Y48" s="129"/>
      <c r="Z48" s="130"/>
      <c r="AA48" s="128"/>
      <c r="AB48" s="129"/>
      <c r="AC48" s="129"/>
      <c r="AD48" s="130"/>
      <c r="AE48" s="128"/>
      <c r="AF48" s="129"/>
      <c r="AG48" s="129"/>
      <c r="AH48" s="161">
        <f>IF(ISNUMBER(FIND(AE$13,$G48)),$I48,IF(ISNUMBER(FIND(AE$13,$H48)),$J48,""))</f>
        <v>2</v>
      </c>
      <c r="AI48" s="128"/>
      <c r="AJ48" s="129"/>
      <c r="AK48" s="129"/>
      <c r="AL48" s="130"/>
      <c r="AM48" s="128"/>
      <c r="AN48" s="129"/>
      <c r="AO48" s="129"/>
      <c r="AP48" s="130"/>
      <c r="AQ48" s="128"/>
      <c r="AR48" s="129"/>
      <c r="AS48" s="129"/>
      <c r="AT48" s="130"/>
      <c r="AU48" s="128"/>
      <c r="AV48" s="129"/>
      <c r="AW48" s="129"/>
      <c r="AX48" s="130"/>
      <c r="AY48" s="128"/>
      <c r="AZ48" s="129"/>
      <c r="BA48" s="129"/>
      <c r="BB48" s="130"/>
      <c r="BC48" s="128"/>
      <c r="BD48" s="129"/>
      <c r="BE48" s="129"/>
      <c r="BF48" s="130"/>
      <c r="BH48">
        <v>9</v>
      </c>
      <c r="BI48" t="s">
        <v>35</v>
      </c>
      <c r="BL48" t="s">
        <v>40</v>
      </c>
      <c r="BN48" t="s">
        <v>50</v>
      </c>
      <c r="BP48" s="8" t="s">
        <v>58</v>
      </c>
      <c r="BR48" t="s">
        <v>65</v>
      </c>
    </row>
    <row r="49" spans="2:70" x14ac:dyDescent="0.3">
      <c r="B49" s="731"/>
      <c r="C49" s="543"/>
      <c r="D49" s="747"/>
      <c r="E49" s="699" t="s">
        <v>18</v>
      </c>
      <c r="F49" s="700"/>
      <c r="G49" s="225" t="s">
        <v>2</v>
      </c>
      <c r="H49" s="226" t="s">
        <v>4</v>
      </c>
      <c r="I49" s="227">
        <v>7</v>
      </c>
      <c r="J49" s="227">
        <v>3</v>
      </c>
      <c r="K49" s="116"/>
      <c r="L49" s="117"/>
      <c r="M49" s="117"/>
      <c r="N49" s="121"/>
      <c r="O49" s="116"/>
      <c r="P49" s="117"/>
      <c r="Q49" s="117"/>
      <c r="R49" s="118"/>
      <c r="S49" s="116"/>
      <c r="T49" s="117"/>
      <c r="U49" s="117"/>
      <c r="V49" s="161">
        <f>IF(ISNUMBER(FIND(S$13,$G49)),$I49,IF(ISNUMBER(FIND(S$13,$H49)),$J49,""))</f>
        <v>7</v>
      </c>
      <c r="W49" s="116"/>
      <c r="X49" s="117"/>
      <c r="Y49" s="117"/>
      <c r="Z49" s="118"/>
      <c r="AA49" s="116"/>
      <c r="AB49" s="117"/>
      <c r="AC49" s="117"/>
      <c r="AD49" s="161">
        <f>IF(ISNUMBER(FIND(AA$13,$G49)),$I49,IF(ISNUMBER(FIND(AA$13,$H49)),$J49,""))</f>
        <v>3</v>
      </c>
      <c r="AE49" s="116"/>
      <c r="AF49" s="117"/>
      <c r="AG49" s="117"/>
      <c r="AH49" s="118"/>
      <c r="AI49" s="116"/>
      <c r="AJ49" s="117"/>
      <c r="AK49" s="117"/>
      <c r="AL49" s="118"/>
      <c r="AM49" s="116"/>
      <c r="AN49" s="117"/>
      <c r="AO49" s="117"/>
      <c r="AP49" s="118"/>
      <c r="AQ49" s="116"/>
      <c r="AR49" s="117"/>
      <c r="AS49" s="117"/>
      <c r="AT49" s="118"/>
      <c r="AU49" s="116"/>
      <c r="AV49" s="117"/>
      <c r="AW49" s="117"/>
      <c r="AX49" s="118"/>
      <c r="AY49" s="116"/>
      <c r="AZ49" s="117"/>
      <c r="BA49" s="117"/>
      <c r="BB49" s="118"/>
      <c r="BC49" s="116"/>
      <c r="BD49" s="117"/>
      <c r="BE49" s="117"/>
      <c r="BF49" s="118"/>
      <c r="BH49">
        <v>4</v>
      </c>
      <c r="BI49" t="s">
        <v>30</v>
      </c>
      <c r="BL49" t="s">
        <v>41</v>
      </c>
      <c r="BN49" t="s">
        <v>51</v>
      </c>
      <c r="BP49" t="s">
        <v>59</v>
      </c>
      <c r="BR49" t="s">
        <v>66</v>
      </c>
    </row>
    <row r="50" spans="2:70" x14ac:dyDescent="0.3">
      <c r="B50" s="731"/>
      <c r="C50" s="543"/>
      <c r="D50" s="747"/>
      <c r="E50" s="699" t="s">
        <v>19</v>
      </c>
      <c r="F50" s="700"/>
      <c r="G50" s="225" t="s">
        <v>5</v>
      </c>
      <c r="H50" s="226" t="s">
        <v>9</v>
      </c>
      <c r="I50" s="227">
        <v>7</v>
      </c>
      <c r="J50" s="227">
        <v>5</v>
      </c>
      <c r="K50" s="116"/>
      <c r="L50" s="117"/>
      <c r="M50" s="117"/>
      <c r="N50" s="121"/>
      <c r="O50" s="116"/>
      <c r="P50" s="117"/>
      <c r="Q50" s="117"/>
      <c r="R50" s="118"/>
      <c r="S50" s="116"/>
      <c r="T50" s="117"/>
      <c r="U50" s="117"/>
      <c r="V50" s="118"/>
      <c r="W50" s="116"/>
      <c r="X50" s="117"/>
      <c r="Y50" s="117"/>
      <c r="Z50" s="118"/>
      <c r="AA50" s="116"/>
      <c r="AB50" s="117"/>
      <c r="AC50" s="117"/>
      <c r="AD50" s="118"/>
      <c r="AE50" s="116"/>
      <c r="AF50" s="117"/>
      <c r="AG50" s="117"/>
      <c r="AH50" s="161">
        <f>IF(ISNUMBER(FIND(AE$13,$G50)),$I50,IF(ISNUMBER(FIND(AE$13,$H50)),$J50,""))</f>
        <v>7</v>
      </c>
      <c r="AI50" s="116"/>
      <c r="AJ50" s="117"/>
      <c r="AK50" s="117"/>
      <c r="AL50" s="118"/>
      <c r="AM50" s="116"/>
      <c r="AN50" s="117"/>
      <c r="AO50" s="117"/>
      <c r="AP50" s="118"/>
      <c r="AQ50" s="116"/>
      <c r="AR50" s="117"/>
      <c r="AS50" s="117"/>
      <c r="AT50" s="118"/>
      <c r="AU50" s="116"/>
      <c r="AV50" s="117"/>
      <c r="AW50" s="117"/>
      <c r="AX50" s="161">
        <f>IF(ISNUMBER(FIND(AU$13,$G50)),$I50,IF(ISNUMBER(FIND(AU$13,$H50)),$J50,""))</f>
        <v>5</v>
      </c>
      <c r="AY50" s="116"/>
      <c r="AZ50" s="117"/>
      <c r="BA50" s="117"/>
      <c r="BB50" s="118"/>
      <c r="BC50" s="116"/>
      <c r="BD50" s="117"/>
      <c r="BE50" s="117"/>
      <c r="BF50" s="118"/>
      <c r="BH50">
        <f>BH48*BH49</f>
        <v>36</v>
      </c>
      <c r="BI50" t="s">
        <v>32</v>
      </c>
      <c r="BL50" t="s">
        <v>42</v>
      </c>
      <c r="BN50" t="s">
        <v>55</v>
      </c>
      <c r="BP50" t="s">
        <v>60</v>
      </c>
      <c r="BR50" t="s">
        <v>67</v>
      </c>
    </row>
    <row r="51" spans="2:70" x14ac:dyDescent="0.3">
      <c r="B51" s="731"/>
      <c r="C51" s="543"/>
      <c r="D51" s="747"/>
      <c r="E51" s="699" t="s">
        <v>20</v>
      </c>
      <c r="F51" s="700"/>
      <c r="G51" s="225" t="s">
        <v>0</v>
      </c>
      <c r="H51" s="226" t="s">
        <v>8</v>
      </c>
      <c r="I51" s="227">
        <v>7</v>
      </c>
      <c r="J51" s="227">
        <v>6</v>
      </c>
      <c r="K51" s="116"/>
      <c r="L51" s="117"/>
      <c r="M51" s="117"/>
      <c r="N51" s="161">
        <f>IF(ISNUMBER(FIND(K$13,$G51)),$I51,IF(ISNUMBER(FIND(K$13,$H51)),$J51,""))</f>
        <v>7</v>
      </c>
      <c r="O51" s="116"/>
      <c r="P51" s="117"/>
      <c r="Q51" s="117"/>
      <c r="R51" s="118"/>
      <c r="S51" s="116"/>
      <c r="T51" s="117"/>
      <c r="U51" s="117"/>
      <c r="V51" s="118"/>
      <c r="W51" s="116"/>
      <c r="X51" s="117"/>
      <c r="Y51" s="117"/>
      <c r="Z51" s="118"/>
      <c r="AA51" s="116"/>
      <c r="AB51" s="117"/>
      <c r="AC51" s="117"/>
      <c r="AD51" s="118"/>
      <c r="AE51" s="116"/>
      <c r="AF51" s="117"/>
      <c r="AG51" s="117"/>
      <c r="AH51" s="118"/>
      <c r="AI51" s="116"/>
      <c r="AJ51" s="117"/>
      <c r="AK51" s="117"/>
      <c r="AL51" s="118"/>
      <c r="AM51" s="116"/>
      <c r="AN51" s="117"/>
      <c r="AO51" s="117"/>
      <c r="AP51" s="118"/>
      <c r="AQ51" s="116"/>
      <c r="AR51" s="117"/>
      <c r="AS51" s="117"/>
      <c r="AT51" s="161">
        <f>IF(ISNUMBER(FIND(AQ$13,$G51)),$I51,IF(ISNUMBER(FIND(AQ$13,$H51)),$J51,""))</f>
        <v>6</v>
      </c>
      <c r="AU51" s="116"/>
      <c r="AV51" s="117"/>
      <c r="AW51" s="117"/>
      <c r="AX51" s="118"/>
      <c r="AY51" s="116"/>
      <c r="AZ51" s="117"/>
      <c r="BA51" s="117"/>
      <c r="BB51" s="118"/>
      <c r="BC51" s="116"/>
      <c r="BD51" s="117"/>
      <c r="BE51" s="117"/>
      <c r="BF51" s="118"/>
    </row>
    <row r="52" spans="2:70" x14ac:dyDescent="0.3">
      <c r="B52" s="731"/>
      <c r="C52" s="543"/>
      <c r="D52" s="747"/>
      <c r="E52" s="699" t="s">
        <v>21</v>
      </c>
      <c r="F52" s="700"/>
      <c r="G52" s="225" t="s">
        <v>3</v>
      </c>
      <c r="H52" s="226" t="s">
        <v>9</v>
      </c>
      <c r="I52" s="227">
        <v>6</v>
      </c>
      <c r="J52" s="227">
        <v>7</v>
      </c>
      <c r="K52" s="116"/>
      <c r="L52" s="117"/>
      <c r="M52" s="117"/>
      <c r="N52" s="121"/>
      <c r="O52" s="116"/>
      <c r="P52" s="117"/>
      <c r="Q52" s="117"/>
      <c r="R52" s="118"/>
      <c r="S52" s="116"/>
      <c r="T52" s="117"/>
      <c r="U52" s="117"/>
      <c r="V52" s="118"/>
      <c r="W52" s="116"/>
      <c r="X52" s="117"/>
      <c r="Y52" s="117"/>
      <c r="Z52" s="161">
        <f>IF(ISNUMBER(FIND(W$13,$G52)),$I52,IF(ISNUMBER(FIND(W$13,$H52)),$J52,""))</f>
        <v>6</v>
      </c>
      <c r="AA52" s="116"/>
      <c r="AB52" s="117"/>
      <c r="AC52" s="117"/>
      <c r="AD52" s="118"/>
      <c r="AE52" s="116"/>
      <c r="AF52" s="117"/>
      <c r="AG52" s="117"/>
      <c r="AH52" s="118"/>
      <c r="AI52" s="116"/>
      <c r="AJ52" s="117"/>
      <c r="AK52" s="117"/>
      <c r="AL52" s="118"/>
      <c r="AM52" s="116"/>
      <c r="AN52" s="117"/>
      <c r="AO52" s="117"/>
      <c r="AP52" s="118"/>
      <c r="AQ52" s="116"/>
      <c r="AR52" s="117"/>
      <c r="AS52" s="117"/>
      <c r="AT52" s="118"/>
      <c r="AU52" s="116"/>
      <c r="AV52" s="117"/>
      <c r="AW52" s="117"/>
      <c r="AX52" s="161">
        <f>IF(ISNUMBER(FIND(AU$13,$G52)),$I52,IF(ISNUMBER(FIND(AU$13,$H52)),$J52,""))</f>
        <v>7</v>
      </c>
      <c r="AY52" s="116"/>
      <c r="AZ52" s="117"/>
      <c r="BA52" s="117"/>
      <c r="BB52" s="118"/>
      <c r="BC52" s="116"/>
      <c r="BD52" s="117"/>
      <c r="BE52" s="117"/>
      <c r="BF52" s="118"/>
    </row>
    <row r="53" spans="2:70" x14ac:dyDescent="0.3">
      <c r="B53" s="731"/>
      <c r="C53" s="543"/>
      <c r="D53" s="747"/>
      <c r="E53" s="699" t="s">
        <v>22</v>
      </c>
      <c r="F53" s="700"/>
      <c r="G53" s="225" t="s">
        <v>6</v>
      </c>
      <c r="H53" s="226" t="s">
        <v>10</v>
      </c>
      <c r="I53" s="227">
        <v>6</v>
      </c>
      <c r="J53" s="227">
        <v>7</v>
      </c>
      <c r="K53" s="116"/>
      <c r="L53" s="117"/>
      <c r="M53" s="117"/>
      <c r="N53" s="121"/>
      <c r="O53" s="116"/>
      <c r="P53" s="117"/>
      <c r="Q53" s="117"/>
      <c r="R53" s="118"/>
      <c r="S53" s="116"/>
      <c r="T53" s="117"/>
      <c r="U53" s="117"/>
      <c r="V53" s="118"/>
      <c r="W53" s="116"/>
      <c r="X53" s="117"/>
      <c r="Y53" s="117"/>
      <c r="Z53" s="118"/>
      <c r="AA53" s="116"/>
      <c r="AB53" s="117"/>
      <c r="AC53" s="117"/>
      <c r="AD53" s="118"/>
      <c r="AE53" s="116"/>
      <c r="AF53" s="117"/>
      <c r="AG53" s="117"/>
      <c r="AH53" s="118"/>
      <c r="AI53" s="116"/>
      <c r="AJ53" s="117"/>
      <c r="AK53" s="117"/>
      <c r="AL53" s="161">
        <f>IF(ISNUMBER(FIND(AI$13,$G53)),$I53,IF(ISNUMBER(FIND(AI$13,$H53)),$J53,""))</f>
        <v>6</v>
      </c>
      <c r="AM53" s="116"/>
      <c r="AN53" s="117"/>
      <c r="AO53" s="117"/>
      <c r="AP53" s="118"/>
      <c r="AQ53" s="116"/>
      <c r="AR53" s="117"/>
      <c r="AS53" s="117"/>
      <c r="AT53" s="118"/>
      <c r="AU53" s="116"/>
      <c r="AV53" s="117"/>
      <c r="AW53" s="117"/>
      <c r="AX53" s="118"/>
      <c r="AY53" s="116"/>
      <c r="AZ53" s="117"/>
      <c r="BA53" s="117"/>
      <c r="BB53" s="161">
        <f>IF(ISNUMBER(FIND(AY$13,$G53)),$I53,IF(ISNUMBER(FIND(AY$13,$H53)),$J53,""))</f>
        <v>7</v>
      </c>
      <c r="BC53" s="116"/>
      <c r="BD53" s="117"/>
      <c r="BE53" s="117"/>
      <c r="BF53" s="118"/>
    </row>
    <row r="54" spans="2:70" x14ac:dyDescent="0.3">
      <c r="B54" s="731"/>
      <c r="C54" s="543"/>
      <c r="D54" s="747"/>
      <c r="E54" s="699" t="s">
        <v>23</v>
      </c>
      <c r="F54" s="700"/>
      <c r="G54" s="225" t="s">
        <v>3</v>
      </c>
      <c r="H54" s="226" t="s">
        <v>7</v>
      </c>
      <c r="I54" s="227">
        <v>7</v>
      </c>
      <c r="J54" s="227">
        <v>6</v>
      </c>
      <c r="K54" s="116"/>
      <c r="L54" s="117"/>
      <c r="M54" s="117"/>
      <c r="N54" s="121"/>
      <c r="O54" s="116"/>
      <c r="P54" s="117"/>
      <c r="Q54" s="117"/>
      <c r="R54" s="118"/>
      <c r="S54" s="116"/>
      <c r="T54" s="117"/>
      <c r="U54" s="117"/>
      <c r="V54" s="118"/>
      <c r="W54" s="116"/>
      <c r="X54" s="117"/>
      <c r="Y54" s="117"/>
      <c r="Z54" s="161">
        <f>IF(ISNUMBER(FIND(W$13,$G54)),$I54,IF(ISNUMBER(FIND(W$13,$H54)),$J54,""))</f>
        <v>7</v>
      </c>
      <c r="AA54" s="116"/>
      <c r="AB54" s="117"/>
      <c r="AC54" s="117"/>
      <c r="AD54" s="118"/>
      <c r="AE54" s="116"/>
      <c r="AF54" s="117"/>
      <c r="AG54" s="117"/>
      <c r="AH54" s="118"/>
      <c r="AI54" s="116"/>
      <c r="AJ54" s="117"/>
      <c r="AK54" s="117"/>
      <c r="AL54" s="118"/>
      <c r="AM54" s="116"/>
      <c r="AN54" s="117"/>
      <c r="AO54" s="117"/>
      <c r="AP54" s="161">
        <f>IF(ISNUMBER(FIND(AM$13,$G54)),$I54,IF(ISNUMBER(FIND(AM$13,$H54)),$J54,""))</f>
        <v>6</v>
      </c>
      <c r="AQ54" s="116"/>
      <c r="AR54" s="117"/>
      <c r="AS54" s="117"/>
      <c r="AT54" s="118"/>
      <c r="AU54" s="116"/>
      <c r="AV54" s="117"/>
      <c r="AW54" s="117"/>
      <c r="AX54" s="118"/>
      <c r="AY54" s="116"/>
      <c r="AZ54" s="117"/>
      <c r="BA54" s="117"/>
      <c r="BB54" s="118"/>
      <c r="BC54" s="116"/>
      <c r="BD54" s="117"/>
      <c r="BE54" s="117"/>
      <c r="BF54" s="118"/>
    </row>
    <row r="55" spans="2:70" ht="14.5" thickBot="1" x14ac:dyDescent="0.35">
      <c r="B55" s="731"/>
      <c r="C55" s="543"/>
      <c r="D55" s="747"/>
      <c r="E55" s="699" t="s">
        <v>24</v>
      </c>
      <c r="F55" s="700"/>
      <c r="G55" s="228" t="s">
        <v>0</v>
      </c>
      <c r="H55" s="229" t="s">
        <v>11</v>
      </c>
      <c r="I55" s="230">
        <v>7</v>
      </c>
      <c r="J55" s="230">
        <v>2</v>
      </c>
      <c r="K55" s="122"/>
      <c r="L55" s="123"/>
      <c r="M55" s="123"/>
      <c r="N55" s="161">
        <f>IF(ISNUMBER(FIND(K$13,$G55)),$I55,IF(ISNUMBER(FIND(K$13,$H55)),$J55,""))</f>
        <v>7</v>
      </c>
      <c r="O55" s="122"/>
      <c r="P55" s="123"/>
      <c r="Q55" s="123"/>
      <c r="R55" s="124"/>
      <c r="S55" s="122"/>
      <c r="T55" s="123"/>
      <c r="U55" s="123"/>
      <c r="V55" s="124"/>
      <c r="W55" s="122"/>
      <c r="X55" s="123"/>
      <c r="Y55" s="123"/>
      <c r="Z55" s="124"/>
      <c r="AA55" s="122"/>
      <c r="AB55" s="123"/>
      <c r="AC55" s="123"/>
      <c r="AD55" s="124"/>
      <c r="AE55" s="122"/>
      <c r="AF55" s="123"/>
      <c r="AG55" s="123"/>
      <c r="AH55" s="124"/>
      <c r="AI55" s="122"/>
      <c r="AJ55" s="123"/>
      <c r="AK55" s="123"/>
      <c r="AL55" s="124"/>
      <c r="AM55" s="122"/>
      <c r="AN55" s="123"/>
      <c r="AO55" s="123"/>
      <c r="AP55" s="124"/>
      <c r="AQ55" s="122"/>
      <c r="AR55" s="123"/>
      <c r="AS55" s="123"/>
      <c r="AT55" s="124"/>
      <c r="AU55" s="122"/>
      <c r="AV55" s="123"/>
      <c r="AW55" s="123"/>
      <c r="AX55" s="124"/>
      <c r="AY55" s="122"/>
      <c r="AZ55" s="123"/>
      <c r="BA55" s="123"/>
      <c r="BB55" s="124"/>
      <c r="BC55" s="122"/>
      <c r="BD55" s="123"/>
      <c r="BE55" s="123"/>
      <c r="BF55" s="455">
        <f>IF(ISNUMBER(FIND(BC$13,$G55)),$I55,IF(ISNUMBER(FIND(BC$13,$H55)),$J55,""))</f>
        <v>2</v>
      </c>
    </row>
    <row r="56" spans="2:70" ht="15" customHeight="1" thickBot="1" x14ac:dyDescent="0.35">
      <c r="B56" s="731"/>
      <c r="C56" s="542" t="s">
        <v>25</v>
      </c>
      <c r="D56" s="733" t="s">
        <v>16</v>
      </c>
      <c r="E56" s="707" t="s">
        <v>17</v>
      </c>
      <c r="F56" s="708"/>
      <c r="G56" s="190" t="s">
        <v>272</v>
      </c>
      <c r="H56" s="191" t="s">
        <v>246</v>
      </c>
      <c r="I56" s="192">
        <v>3</v>
      </c>
      <c r="J56" s="193">
        <v>5</v>
      </c>
      <c r="K56" s="116"/>
      <c r="L56" s="117"/>
      <c r="M56" s="117"/>
      <c r="N56" s="118"/>
      <c r="O56" s="116"/>
      <c r="P56" s="117"/>
      <c r="Q56" s="117"/>
      <c r="R56" s="118"/>
      <c r="S56" s="119">
        <f>IF(ISNUMBER(FIND(S$13,$G56)),$I56,IF(ISNUMBER(FIND(S$13,$H56)),$J56,""))</f>
        <v>5</v>
      </c>
      <c r="T56" s="117"/>
      <c r="U56" s="117"/>
      <c r="V56" s="118"/>
      <c r="W56" s="116"/>
      <c r="X56" s="117"/>
      <c r="Y56" s="117"/>
      <c r="Z56" s="118"/>
      <c r="AA56" s="119">
        <f>IF(ISNUMBER(FIND(AA$13,$G56)),$I56,IF(ISNUMBER(FIND(AA$13,$H56)),$J56,""))</f>
        <v>3</v>
      </c>
      <c r="AB56" s="117"/>
      <c r="AC56" s="117"/>
      <c r="AD56" s="118"/>
      <c r="AE56" s="116"/>
      <c r="AF56" s="117"/>
      <c r="AG56" s="117"/>
      <c r="AH56" s="118"/>
      <c r="AI56" s="119">
        <f>IF(ISNUMBER(FIND(AI$13,$G56)),$I56,IF(ISNUMBER(FIND(AI$13,$H56)),$J56,""))</f>
        <v>5</v>
      </c>
      <c r="AJ56" s="117"/>
      <c r="AK56" s="117"/>
      <c r="AL56" s="118"/>
      <c r="AM56" s="119">
        <f>IF(ISNUMBER(FIND(AM$13,$G56)),$I56,IF(ISNUMBER(FIND(AM$13,$H56)),$J56,""))</f>
        <v>3</v>
      </c>
      <c r="AN56" s="117"/>
      <c r="AO56" s="117"/>
      <c r="AP56" s="118"/>
      <c r="AQ56" s="116"/>
      <c r="AR56" s="117"/>
      <c r="AS56" s="117"/>
      <c r="AT56" s="118"/>
      <c r="AU56" s="116"/>
      <c r="AV56" s="117"/>
      <c r="AW56" s="117"/>
      <c r="AX56" s="118"/>
      <c r="AY56" s="116"/>
      <c r="AZ56" s="117"/>
      <c r="BA56" s="117"/>
      <c r="BB56" s="118"/>
      <c r="BC56" s="116"/>
      <c r="BD56" s="117"/>
      <c r="BE56" s="117"/>
      <c r="BF56" s="118"/>
      <c r="BH56">
        <v>9</v>
      </c>
      <c r="BI56" t="s">
        <v>31</v>
      </c>
      <c r="BL56" t="s">
        <v>37</v>
      </c>
      <c r="BN56" t="s">
        <v>49</v>
      </c>
      <c r="BP56" s="8" t="s">
        <v>64</v>
      </c>
      <c r="BR56" t="s">
        <v>50</v>
      </c>
    </row>
    <row r="57" spans="2:70" ht="14.5" thickBot="1" x14ac:dyDescent="0.35">
      <c r="B57" s="731"/>
      <c r="C57" s="543"/>
      <c r="D57" s="734"/>
      <c r="E57" s="701" t="s">
        <v>18</v>
      </c>
      <c r="F57" s="702"/>
      <c r="G57" s="194" t="s">
        <v>250</v>
      </c>
      <c r="H57" s="195" t="s">
        <v>273</v>
      </c>
      <c r="I57" s="196">
        <v>5</v>
      </c>
      <c r="J57" s="197">
        <v>3</v>
      </c>
      <c r="K57" s="116"/>
      <c r="L57" s="117"/>
      <c r="M57" s="117"/>
      <c r="N57" s="118"/>
      <c r="O57" s="116"/>
      <c r="P57" s="117"/>
      <c r="Q57" s="117"/>
      <c r="R57" s="118"/>
      <c r="S57" s="116"/>
      <c r="T57" s="117"/>
      <c r="U57" s="117"/>
      <c r="V57" s="118"/>
      <c r="W57" s="116"/>
      <c r="X57" s="117"/>
      <c r="Y57" s="117"/>
      <c r="Z57" s="118"/>
      <c r="AA57" s="116"/>
      <c r="AB57" s="117"/>
      <c r="AC57" s="117"/>
      <c r="AD57" s="118"/>
      <c r="AE57" s="119">
        <f>IF(ISNUMBER(FIND(AE$13,$G57)),$I57,IF(ISNUMBER(FIND(AE$13,$H57)),$J57,""))</f>
        <v>5</v>
      </c>
      <c r="AF57" s="117"/>
      <c r="AG57" s="117"/>
      <c r="AH57" s="118"/>
      <c r="AI57" s="116"/>
      <c r="AJ57" s="117"/>
      <c r="AK57" s="117"/>
      <c r="AL57" s="118"/>
      <c r="AM57" s="119">
        <f>IF(ISNUMBER(FIND(AM$13,$G57)),$I57,IF(ISNUMBER(FIND(AM$13,$H57)),$J57,""))</f>
        <v>3</v>
      </c>
      <c r="AN57" s="117"/>
      <c r="AO57" s="117"/>
      <c r="AP57" s="118"/>
      <c r="AQ57" s="119">
        <f>IF(ISNUMBER(FIND(AQ$13,$G57)),$I57,IF(ISNUMBER(FIND(AQ$13,$H57)),$J57,""))</f>
        <v>3</v>
      </c>
      <c r="AR57" s="117"/>
      <c r="AS57" s="117"/>
      <c r="AT57" s="118"/>
      <c r="AU57" s="119">
        <f>IF(ISNUMBER(FIND(AU$13,$G57)),$I57,IF(ISNUMBER(FIND(AU$13,$H57)),$J57,""))</f>
        <v>5</v>
      </c>
      <c r="AV57" s="117"/>
      <c r="AW57" s="117"/>
      <c r="AX57" s="118"/>
      <c r="AY57" s="116"/>
      <c r="AZ57" s="117"/>
      <c r="BA57" s="117"/>
      <c r="BB57" s="118"/>
      <c r="BC57" s="116"/>
      <c r="BD57" s="117"/>
      <c r="BE57" s="117"/>
      <c r="BF57" s="118"/>
      <c r="BH57">
        <v>8</v>
      </c>
      <c r="BI57" t="s">
        <v>30</v>
      </c>
      <c r="BL57" t="s">
        <v>38</v>
      </c>
      <c r="BN57" t="s">
        <v>41</v>
      </c>
      <c r="BP57" t="s">
        <v>56</v>
      </c>
      <c r="BR57" t="s">
        <v>68</v>
      </c>
    </row>
    <row r="58" spans="2:70" ht="14.5" thickBot="1" x14ac:dyDescent="0.35">
      <c r="B58" s="731"/>
      <c r="C58" s="543"/>
      <c r="D58" s="734"/>
      <c r="E58" s="701" t="s">
        <v>19</v>
      </c>
      <c r="F58" s="702"/>
      <c r="G58" s="194" t="s">
        <v>274</v>
      </c>
      <c r="H58" s="195" t="s">
        <v>275</v>
      </c>
      <c r="I58" s="196">
        <v>5</v>
      </c>
      <c r="J58" s="197">
        <v>3</v>
      </c>
      <c r="K58" s="116"/>
      <c r="L58" s="117"/>
      <c r="M58" s="117"/>
      <c r="N58" s="118"/>
      <c r="O58" s="119">
        <f>IF(ISNUMBER(FIND(O$13,$G58)),$I58,IF(ISNUMBER(FIND(O$13,$H58)),$J58,""))</f>
        <v>3</v>
      </c>
      <c r="P58" s="117"/>
      <c r="Q58" s="117"/>
      <c r="R58" s="118"/>
      <c r="S58" s="116"/>
      <c r="T58" s="117"/>
      <c r="U58" s="117"/>
      <c r="V58" s="118"/>
      <c r="W58" s="119">
        <f>IF(ISNUMBER(FIND(W$13,$G58)),$I58,IF(ISNUMBER(FIND(W$13,$H58)),$J58,""))</f>
        <v>5</v>
      </c>
      <c r="X58" s="117"/>
      <c r="Y58" s="117"/>
      <c r="Z58" s="118"/>
      <c r="AA58" s="116"/>
      <c r="AB58" s="117"/>
      <c r="AC58" s="117"/>
      <c r="AD58" s="118"/>
      <c r="AE58" s="116"/>
      <c r="AF58" s="117"/>
      <c r="AG58" s="117"/>
      <c r="AH58" s="118"/>
      <c r="AI58" s="116"/>
      <c r="AJ58" s="117"/>
      <c r="AK58" s="117"/>
      <c r="AL58" s="118"/>
      <c r="AM58" s="116"/>
      <c r="AN58" s="117"/>
      <c r="AO58" s="117"/>
      <c r="AP58" s="118"/>
      <c r="AQ58" s="116"/>
      <c r="AR58" s="117"/>
      <c r="AS58" s="117"/>
      <c r="AT58" s="118"/>
      <c r="AU58" s="119">
        <f>IF(ISNUMBER(FIND(AU$13,$G58)),$I58,IF(ISNUMBER(FIND(AU$13,$H58)),$J58,""))</f>
        <v>3</v>
      </c>
      <c r="AV58" s="117"/>
      <c r="AW58" s="117"/>
      <c r="AX58" s="118"/>
      <c r="AY58" s="119">
        <f>IF(ISNUMBER(FIND(AY$13,$G58)),$I58,IF(ISNUMBER(FIND(AY$13,$H58)),$J58,""))</f>
        <v>5</v>
      </c>
      <c r="AZ58" s="117"/>
      <c r="BA58" s="117"/>
      <c r="BB58" s="118"/>
      <c r="BC58" s="116"/>
      <c r="BD58" s="117"/>
      <c r="BE58" s="117"/>
      <c r="BF58" s="118"/>
      <c r="BH58">
        <f>BH56*BH57</f>
        <v>72</v>
      </c>
      <c r="BI58" t="s">
        <v>32</v>
      </c>
      <c r="BL58" t="s">
        <v>39</v>
      </c>
      <c r="BN58" t="s">
        <v>42</v>
      </c>
      <c r="BP58" t="s">
        <v>57</v>
      </c>
      <c r="BR58" t="s">
        <v>69</v>
      </c>
    </row>
    <row r="59" spans="2:70" ht="14.5" thickBot="1" x14ac:dyDescent="0.35">
      <c r="B59" s="731"/>
      <c r="C59" s="543"/>
      <c r="D59" s="734"/>
      <c r="E59" s="701" t="s">
        <v>20</v>
      </c>
      <c r="F59" s="702"/>
      <c r="G59" s="194" t="s">
        <v>276</v>
      </c>
      <c r="H59" s="195" t="s">
        <v>263</v>
      </c>
      <c r="I59" s="196">
        <v>3</v>
      </c>
      <c r="J59" s="197">
        <v>5</v>
      </c>
      <c r="K59" s="119">
        <f>IF(ISNUMBER(FIND(K$13,$G59)),$I59,IF(ISNUMBER(FIND(K$13,$H59)),$J59,""))</f>
        <v>3</v>
      </c>
      <c r="L59" s="117"/>
      <c r="M59" s="117"/>
      <c r="N59" s="118"/>
      <c r="O59" s="116"/>
      <c r="P59" s="117"/>
      <c r="Q59" s="117"/>
      <c r="R59" s="118"/>
      <c r="S59" s="116"/>
      <c r="T59" s="117"/>
      <c r="U59" s="117"/>
      <c r="V59" s="118"/>
      <c r="W59" s="119">
        <f>IF(ISNUMBER(FIND(W$13,$G59)),$I59,IF(ISNUMBER(FIND(W$13,$H59)),$J59,""))</f>
        <v>5</v>
      </c>
      <c r="X59" s="117"/>
      <c r="Y59" s="117"/>
      <c r="Z59" s="118"/>
      <c r="AA59" s="119">
        <f>IF(ISNUMBER(FIND(AA$13,$G59)),$I59,IF(ISNUMBER(FIND(AA$13,$H59)),$J59,""))</f>
        <v>5</v>
      </c>
      <c r="AB59" s="117"/>
      <c r="AC59" s="117"/>
      <c r="AD59" s="118"/>
      <c r="AE59" s="116"/>
      <c r="AF59" s="117"/>
      <c r="AG59" s="117"/>
      <c r="AH59" s="118"/>
      <c r="AI59" s="116"/>
      <c r="AJ59" s="117"/>
      <c r="AK59" s="117"/>
      <c r="AL59" s="118"/>
      <c r="AM59" s="116"/>
      <c r="AN59" s="117"/>
      <c r="AO59" s="117"/>
      <c r="AP59" s="118"/>
      <c r="AQ59" s="116"/>
      <c r="AR59" s="117"/>
      <c r="AS59" s="117"/>
      <c r="AT59" s="118"/>
      <c r="AU59" s="119">
        <f>IF(ISNUMBER(FIND(AU$13,$G59)),$I59,IF(ISNUMBER(FIND(AU$13,$H59)),$J59,""))</f>
        <v>3</v>
      </c>
      <c r="AV59" s="117"/>
      <c r="AW59" s="117"/>
      <c r="AX59" s="118"/>
      <c r="AY59" s="116"/>
      <c r="AZ59" s="117"/>
      <c r="BA59" s="117"/>
      <c r="BB59" s="118"/>
      <c r="BC59" s="116"/>
      <c r="BD59" s="117"/>
      <c r="BE59" s="117"/>
      <c r="BF59" s="118"/>
      <c r="BH59">
        <f>BH57/14.5</f>
        <v>0.55172413793103448</v>
      </c>
      <c r="BI59" t="s">
        <v>36</v>
      </c>
    </row>
    <row r="60" spans="2:70" ht="14.5" thickBot="1" x14ac:dyDescent="0.35">
      <c r="B60" s="731"/>
      <c r="C60" s="543"/>
      <c r="D60" s="734"/>
      <c r="E60" s="701" t="s">
        <v>21</v>
      </c>
      <c r="F60" s="702"/>
      <c r="G60" s="194" t="s">
        <v>277</v>
      </c>
      <c r="H60" s="195" t="s">
        <v>273</v>
      </c>
      <c r="I60" s="196">
        <v>5</v>
      </c>
      <c r="J60" s="197">
        <v>3</v>
      </c>
      <c r="K60" s="116"/>
      <c r="L60" s="117"/>
      <c r="M60" s="117"/>
      <c r="N60" s="118"/>
      <c r="O60" s="116"/>
      <c r="P60" s="117"/>
      <c r="Q60" s="117"/>
      <c r="R60" s="118"/>
      <c r="S60" s="116"/>
      <c r="T60" s="117"/>
      <c r="U60" s="117"/>
      <c r="V60" s="118"/>
      <c r="W60" s="116"/>
      <c r="X60" s="117"/>
      <c r="Y60" s="117"/>
      <c r="Z60" s="118"/>
      <c r="AA60" s="116"/>
      <c r="AB60" s="117"/>
      <c r="AC60" s="117"/>
      <c r="AD60" s="118"/>
      <c r="AE60" s="119">
        <f>IF(ISNUMBER(FIND(AE$13,$G60)),$I60,IF(ISNUMBER(FIND(AE$13,$H60)),$J60,""))</f>
        <v>5</v>
      </c>
      <c r="AF60" s="117"/>
      <c r="AG60" s="117"/>
      <c r="AH60" s="118"/>
      <c r="AI60" s="119">
        <f>IF(ISNUMBER(FIND(AI$13,$G60)),$I60,IF(ISNUMBER(FIND(AI$13,$H60)),$J60,""))</f>
        <v>5</v>
      </c>
      <c r="AJ60" s="117"/>
      <c r="AK60" s="117"/>
      <c r="AL60" s="118"/>
      <c r="AM60" s="119">
        <f>IF(ISNUMBER(FIND(AM$13,$G60)),$I60,IF(ISNUMBER(FIND(AM$13,$H60)),$J60,""))</f>
        <v>3</v>
      </c>
      <c r="AN60" s="117"/>
      <c r="AO60" s="117"/>
      <c r="AP60" s="118"/>
      <c r="AQ60" s="119">
        <f>IF(ISNUMBER(FIND(AQ$13,$G60)),$I60,IF(ISNUMBER(FIND(AQ$13,$H60)),$J60,""))</f>
        <v>3</v>
      </c>
      <c r="AR60" s="117"/>
      <c r="AS60" s="117"/>
      <c r="AT60" s="118"/>
      <c r="AU60" s="116"/>
      <c r="AV60" s="117"/>
      <c r="AW60" s="117"/>
      <c r="AX60" s="118"/>
      <c r="AY60" s="116"/>
      <c r="AZ60" s="117"/>
      <c r="BA60" s="117"/>
      <c r="BB60" s="118"/>
      <c r="BC60" s="116"/>
      <c r="BD60" s="117"/>
      <c r="BE60" s="117"/>
      <c r="BF60" s="118"/>
      <c r="BH60">
        <f>BH59*6/10*14.5</f>
        <v>4.8</v>
      </c>
    </row>
    <row r="61" spans="2:70" ht="14.5" thickBot="1" x14ac:dyDescent="0.35">
      <c r="B61" s="731"/>
      <c r="C61" s="543"/>
      <c r="D61" s="734"/>
      <c r="E61" s="701" t="s">
        <v>22</v>
      </c>
      <c r="F61" s="702"/>
      <c r="G61" s="194" t="s">
        <v>262</v>
      </c>
      <c r="H61" s="195" t="s">
        <v>245</v>
      </c>
      <c r="I61" s="196">
        <v>5</v>
      </c>
      <c r="J61" s="197">
        <v>2</v>
      </c>
      <c r="K61" s="119">
        <f>IF(ISNUMBER(FIND(K$13,$G61)),$I61,IF(ISNUMBER(FIND(K$13,$H61)),$J61,""))</f>
        <v>2</v>
      </c>
      <c r="L61" s="117"/>
      <c r="M61" s="117"/>
      <c r="N61" s="118"/>
      <c r="O61" s="116"/>
      <c r="P61" s="117"/>
      <c r="Q61" s="117"/>
      <c r="R61" s="118"/>
      <c r="S61" s="119">
        <f>IF(ISNUMBER(FIND(S$13,$G61)),$I61,IF(ISNUMBER(FIND(S$13,$H61)),$J61,""))</f>
        <v>5</v>
      </c>
      <c r="T61" s="117"/>
      <c r="U61" s="117"/>
      <c r="V61" s="118"/>
      <c r="W61" s="116"/>
      <c r="X61" s="117"/>
      <c r="Y61" s="117"/>
      <c r="Z61" s="118"/>
      <c r="AA61" s="119">
        <f>IF(ISNUMBER(FIND(AA$13,$G61)),$I61,IF(ISNUMBER(FIND(AA$13,$H61)),$J61,""))</f>
        <v>2</v>
      </c>
      <c r="AB61" s="117"/>
      <c r="AC61" s="117"/>
      <c r="AD61" s="118"/>
      <c r="AE61" s="116"/>
      <c r="AF61" s="117"/>
      <c r="AG61" s="117"/>
      <c r="AH61" s="118"/>
      <c r="AI61" s="116"/>
      <c r="AJ61" s="117"/>
      <c r="AK61" s="117"/>
      <c r="AL61" s="118"/>
      <c r="AM61" s="116"/>
      <c r="AN61" s="117"/>
      <c r="AO61" s="117"/>
      <c r="AP61" s="118"/>
      <c r="AQ61" s="119">
        <f>IF(ISNUMBER(FIND(AQ$13,$G61)),$I61,IF(ISNUMBER(FIND(AQ$13,$H61)),$J61,""))</f>
        <v>5</v>
      </c>
      <c r="AR61" s="117"/>
      <c r="AS61" s="117"/>
      <c r="AT61" s="118"/>
      <c r="AU61" s="116"/>
      <c r="AV61" s="117"/>
      <c r="AW61" s="117"/>
      <c r="AX61" s="118"/>
      <c r="AY61" s="116"/>
      <c r="AZ61" s="117"/>
      <c r="BA61" s="117"/>
      <c r="BB61" s="118"/>
      <c r="BC61" s="116"/>
      <c r="BD61" s="117"/>
      <c r="BE61" s="117"/>
      <c r="BF61" s="118"/>
    </row>
    <row r="62" spans="2:70" ht="14.5" thickBot="1" x14ac:dyDescent="0.35">
      <c r="B62" s="731"/>
      <c r="C62" s="543"/>
      <c r="D62" s="734"/>
      <c r="E62" s="701" t="s">
        <v>23</v>
      </c>
      <c r="F62" s="702"/>
      <c r="G62" s="194" t="s">
        <v>255</v>
      </c>
      <c r="H62" s="195" t="s">
        <v>278</v>
      </c>
      <c r="I62" s="196">
        <v>5</v>
      </c>
      <c r="J62" s="197">
        <v>1</v>
      </c>
      <c r="K62" s="116"/>
      <c r="L62" s="117"/>
      <c r="M62" s="117"/>
      <c r="N62" s="118"/>
      <c r="O62" s="119">
        <f>IF(ISNUMBER(FIND(O$13,$G62)),$I62,IF(ISNUMBER(FIND(O$13,$H62)),$J62,""))</f>
        <v>5</v>
      </c>
      <c r="P62" s="117"/>
      <c r="Q62" s="117"/>
      <c r="R62" s="118"/>
      <c r="S62" s="116"/>
      <c r="T62" s="117"/>
      <c r="U62" s="117"/>
      <c r="V62" s="118"/>
      <c r="W62" s="116"/>
      <c r="X62" s="117"/>
      <c r="Y62" s="117"/>
      <c r="Z62" s="118"/>
      <c r="AA62" s="119">
        <f>IF(ISNUMBER(FIND(AA$13,$G62)),$I62,IF(ISNUMBER(FIND(AA$13,$H62)),$J62,""))</f>
        <v>1</v>
      </c>
      <c r="AB62" s="117"/>
      <c r="AC62" s="117"/>
      <c r="AD62" s="118"/>
      <c r="AE62" s="116"/>
      <c r="AF62" s="117"/>
      <c r="AG62" s="117"/>
      <c r="AH62" s="118"/>
      <c r="AI62" s="119">
        <f>IF(ISNUMBER(FIND(AI$13,$G62)),$I62,IF(ISNUMBER(FIND(AI$13,$H62)),$J62,""))</f>
        <v>5</v>
      </c>
      <c r="AJ62" s="117"/>
      <c r="AK62" s="117"/>
      <c r="AL62" s="118"/>
      <c r="AM62" s="116"/>
      <c r="AN62" s="117"/>
      <c r="AO62" s="117"/>
      <c r="AP62" s="118"/>
      <c r="AQ62" s="116"/>
      <c r="AR62" s="117"/>
      <c r="AS62" s="117"/>
      <c r="AT62" s="118"/>
      <c r="AU62" s="116"/>
      <c r="AV62" s="117"/>
      <c r="AW62" s="117"/>
      <c r="AX62" s="118"/>
      <c r="AY62" s="116"/>
      <c r="AZ62" s="117"/>
      <c r="BA62" s="117"/>
      <c r="BB62" s="118"/>
      <c r="BC62" s="119">
        <f>IF(ISNUMBER(FIND(BC$13,$G62)),$I62,IF(ISNUMBER(FIND(BC$13,$H62)),$J62,""))</f>
        <v>1</v>
      </c>
      <c r="BD62" s="117"/>
      <c r="BE62" s="117"/>
      <c r="BF62" s="118"/>
      <c r="BI62" t="s">
        <v>33</v>
      </c>
    </row>
    <row r="63" spans="2:70" ht="14.5" thickBot="1" x14ac:dyDescent="0.35">
      <c r="B63" s="731"/>
      <c r="C63" s="543"/>
      <c r="D63" s="734"/>
      <c r="E63" s="701" t="s">
        <v>24</v>
      </c>
      <c r="F63" s="702"/>
      <c r="G63" s="198" t="s">
        <v>249</v>
      </c>
      <c r="H63" s="199" t="s">
        <v>265</v>
      </c>
      <c r="I63" s="200">
        <v>3</v>
      </c>
      <c r="J63" s="201">
        <v>5</v>
      </c>
      <c r="K63" s="162"/>
      <c r="L63" s="163"/>
      <c r="M63" s="163"/>
      <c r="N63" s="164"/>
      <c r="O63" s="162"/>
      <c r="P63" s="163"/>
      <c r="Q63" s="163"/>
      <c r="R63" s="164"/>
      <c r="S63" s="162"/>
      <c r="T63" s="163"/>
      <c r="U63" s="163"/>
      <c r="V63" s="164"/>
      <c r="W63" s="162"/>
      <c r="X63" s="163"/>
      <c r="Y63" s="163"/>
      <c r="Z63" s="164"/>
      <c r="AA63" s="162"/>
      <c r="AB63" s="163"/>
      <c r="AC63" s="163"/>
      <c r="AD63" s="164"/>
      <c r="AE63" s="162"/>
      <c r="AF63" s="163"/>
      <c r="AG63" s="163"/>
      <c r="AH63" s="164"/>
      <c r="AI63" s="165">
        <f>IF(ISNUMBER(FIND(AI$13,$G63)),$I63,IF(ISNUMBER(FIND(AI$13,$H63)),$J63,""))</f>
        <v>5</v>
      </c>
      <c r="AJ63" s="163"/>
      <c r="AK63" s="163"/>
      <c r="AL63" s="164"/>
      <c r="AM63" s="162"/>
      <c r="AN63" s="163"/>
      <c r="AO63" s="163"/>
      <c r="AP63" s="164"/>
      <c r="AQ63" s="162"/>
      <c r="AR63" s="163"/>
      <c r="AS63" s="163"/>
      <c r="AT63" s="164"/>
      <c r="AU63" s="165">
        <f>IF(ISNUMBER(FIND(AU$13,$G63)),$I63,IF(ISNUMBER(FIND(AU$13,$H63)),$J63,""))</f>
        <v>5</v>
      </c>
      <c r="AV63" s="163"/>
      <c r="AW63" s="163"/>
      <c r="AX63" s="164"/>
      <c r="AY63" s="165">
        <f>IF(ISNUMBER(FIND(AY$13,$G63)),$I63,IF(ISNUMBER(FIND(AY$13,$H63)),$J63,""))</f>
        <v>3</v>
      </c>
      <c r="AZ63" s="163"/>
      <c r="BA63" s="163"/>
      <c r="BB63" s="164"/>
      <c r="BC63" s="165">
        <f>IF(ISNUMBER(FIND(BC$13,$G63)),$I63,IF(ISNUMBER(FIND(BC$13,$H63)),$J63,""))</f>
        <v>3</v>
      </c>
      <c r="BD63" s="163"/>
      <c r="BE63" s="163"/>
      <c r="BF63" s="164"/>
      <c r="BI63" t="s">
        <v>34</v>
      </c>
    </row>
    <row r="64" spans="2:70" ht="15" customHeight="1" x14ac:dyDescent="0.3">
      <c r="B64" s="731"/>
      <c r="C64" s="543"/>
      <c r="D64" s="722" t="s">
        <v>244</v>
      </c>
      <c r="E64" s="703" t="s">
        <v>17</v>
      </c>
      <c r="F64" s="704"/>
      <c r="G64" s="202" t="s">
        <v>5</v>
      </c>
      <c r="H64" s="203" t="s">
        <v>10</v>
      </c>
      <c r="I64" s="207">
        <v>227</v>
      </c>
      <c r="J64" s="204">
        <v>137</v>
      </c>
      <c r="K64" s="125"/>
      <c r="L64" s="114"/>
      <c r="M64" s="114"/>
      <c r="N64" s="115"/>
      <c r="O64" s="125"/>
      <c r="P64" s="114"/>
      <c r="Q64" s="114"/>
      <c r="R64" s="115"/>
      <c r="S64" s="125"/>
      <c r="T64" s="114"/>
      <c r="U64" s="114"/>
      <c r="V64" s="115"/>
      <c r="W64" s="125"/>
      <c r="X64" s="114"/>
      <c r="Y64" s="114"/>
      <c r="Z64" s="115"/>
      <c r="AA64" s="125"/>
      <c r="AB64" s="114"/>
      <c r="AC64" s="114"/>
      <c r="AD64" s="115"/>
      <c r="AE64" s="125"/>
      <c r="AF64" s="166">
        <f>IF(ISNUMBER(FIND(AE$13,$G64)),$I64,IF(ISNUMBER(FIND(AE$13,$H64)),$J64,""))</f>
        <v>227</v>
      </c>
      <c r="AG64" s="114"/>
      <c r="AH64" s="115"/>
      <c r="AI64" s="125"/>
      <c r="AJ64" s="114"/>
      <c r="AK64" s="114"/>
      <c r="AL64" s="115"/>
      <c r="AM64" s="125"/>
      <c r="AN64" s="114"/>
      <c r="AO64" s="114"/>
      <c r="AP64" s="115"/>
      <c r="AQ64" s="125"/>
      <c r="AR64" s="114"/>
      <c r="AS64" s="114"/>
      <c r="AT64" s="115"/>
      <c r="AU64" s="125"/>
      <c r="AV64" s="114"/>
      <c r="AW64" s="114"/>
      <c r="AX64" s="115"/>
      <c r="AY64" s="125"/>
      <c r="AZ64" s="166">
        <f>IF(ISNUMBER(FIND(AY$13,$G64)),$I64,IF(ISNUMBER(FIND(AY$13,$H64)),$J64,""))</f>
        <v>137</v>
      </c>
      <c r="BA64" s="114"/>
      <c r="BB64" s="115"/>
      <c r="BC64" s="125"/>
      <c r="BD64" s="114"/>
      <c r="BE64" s="114"/>
      <c r="BF64" s="115"/>
      <c r="BI64" t="s">
        <v>43</v>
      </c>
      <c r="BL64" t="s">
        <v>46</v>
      </c>
      <c r="BN64" t="s">
        <v>52</v>
      </c>
      <c r="BP64" s="8" t="s">
        <v>63</v>
      </c>
      <c r="BR64" t="s">
        <v>63</v>
      </c>
    </row>
    <row r="65" spans="2:70" x14ac:dyDescent="0.3">
      <c r="B65" s="731"/>
      <c r="C65" s="543"/>
      <c r="D65" s="723"/>
      <c r="E65" s="559" t="s">
        <v>18</v>
      </c>
      <c r="F65" s="560"/>
      <c r="G65" s="205" t="s">
        <v>0</v>
      </c>
      <c r="H65" s="206" t="s">
        <v>1</v>
      </c>
      <c r="I65" s="207">
        <v>204</v>
      </c>
      <c r="J65" s="207">
        <v>223</v>
      </c>
      <c r="K65" s="116"/>
      <c r="L65" s="120">
        <f>IF(ISNUMBER(FIND(K$13,$G65)),$I65,IF(ISNUMBER(FIND(K$13,$H65)),$J65,""))</f>
        <v>204</v>
      </c>
      <c r="M65" s="117"/>
      <c r="N65" s="118"/>
      <c r="O65" s="116"/>
      <c r="P65" s="120">
        <f>IF(ISNUMBER(FIND(O$13,$G65)),$I65,IF(ISNUMBER(FIND(O$13,$H65)),$J65,""))</f>
        <v>223</v>
      </c>
      <c r="Q65" s="117"/>
      <c r="R65" s="118"/>
      <c r="S65" s="116"/>
      <c r="T65" s="117"/>
      <c r="U65" s="117"/>
      <c r="V65" s="118"/>
      <c r="W65" s="116"/>
      <c r="X65" s="117"/>
      <c r="Y65" s="117"/>
      <c r="Z65" s="118"/>
      <c r="AA65" s="116"/>
      <c r="AB65" s="117"/>
      <c r="AC65" s="117"/>
      <c r="AD65" s="118"/>
      <c r="AE65" s="116"/>
      <c r="AF65" s="117"/>
      <c r="AG65" s="117"/>
      <c r="AH65" s="118"/>
      <c r="AI65" s="116"/>
      <c r="AJ65" s="117"/>
      <c r="AK65" s="117"/>
      <c r="AL65" s="118"/>
      <c r="AM65" s="116"/>
      <c r="AN65" s="117"/>
      <c r="AO65" s="117"/>
      <c r="AP65" s="118"/>
      <c r="AQ65" s="116"/>
      <c r="AR65" s="117"/>
      <c r="AS65" s="117"/>
      <c r="AT65" s="118"/>
      <c r="AU65" s="116"/>
      <c r="AV65" s="117"/>
      <c r="AW65" s="117"/>
      <c r="AX65" s="118"/>
      <c r="AY65" s="116"/>
      <c r="AZ65" s="117"/>
      <c r="BA65" s="117"/>
      <c r="BB65" s="118"/>
      <c r="BC65" s="116"/>
      <c r="BD65" s="117"/>
      <c r="BE65" s="117"/>
      <c r="BF65" s="118"/>
      <c r="BI65" t="s">
        <v>44</v>
      </c>
      <c r="BL65" t="s">
        <v>47</v>
      </c>
      <c r="BN65" t="s">
        <v>53</v>
      </c>
      <c r="BP65" t="s">
        <v>61</v>
      </c>
      <c r="BR65" t="s">
        <v>61</v>
      </c>
    </row>
    <row r="66" spans="2:70" x14ac:dyDescent="0.3">
      <c r="B66" s="731"/>
      <c r="C66" s="543"/>
      <c r="D66" s="723"/>
      <c r="E66" s="559" t="s">
        <v>19</v>
      </c>
      <c r="F66" s="560"/>
      <c r="G66" s="205" t="s">
        <v>4</v>
      </c>
      <c r="H66" s="206" t="s">
        <v>8</v>
      </c>
      <c r="I66" s="207">
        <v>237</v>
      </c>
      <c r="J66" s="207">
        <v>161</v>
      </c>
      <c r="K66" s="116"/>
      <c r="L66" s="117"/>
      <c r="M66" s="117"/>
      <c r="N66" s="118"/>
      <c r="O66" s="116"/>
      <c r="P66" s="117"/>
      <c r="Q66" s="117"/>
      <c r="R66" s="118"/>
      <c r="S66" s="116"/>
      <c r="T66" s="117"/>
      <c r="U66" s="117"/>
      <c r="V66" s="118"/>
      <c r="W66" s="116"/>
      <c r="X66" s="117"/>
      <c r="Y66" s="117"/>
      <c r="Z66" s="118"/>
      <c r="AA66" s="116"/>
      <c r="AB66" s="120">
        <f>IF(ISNUMBER(FIND(AA$13,$G66)),$I66,IF(ISNUMBER(FIND(AA$13,$H66)),$J66,""))</f>
        <v>237</v>
      </c>
      <c r="AC66" s="117"/>
      <c r="AD66" s="118"/>
      <c r="AE66" s="116"/>
      <c r="AF66" s="117"/>
      <c r="AG66" s="117"/>
      <c r="AH66" s="118"/>
      <c r="AI66" s="116"/>
      <c r="AJ66" s="117"/>
      <c r="AK66" s="117"/>
      <c r="AL66" s="118"/>
      <c r="AM66" s="116"/>
      <c r="AN66" s="117"/>
      <c r="AO66" s="117"/>
      <c r="AP66" s="118"/>
      <c r="AQ66" s="116"/>
      <c r="AR66" s="120">
        <f>IF(ISNUMBER(FIND(AQ$13,$G66)),$I66,IF(ISNUMBER(FIND(AQ$13,$H66)),$J66,""))</f>
        <v>161</v>
      </c>
      <c r="AS66" s="117"/>
      <c r="AT66" s="118"/>
      <c r="AU66" s="116"/>
      <c r="AV66" s="117"/>
      <c r="AW66" s="117"/>
      <c r="AX66" s="118"/>
      <c r="AY66" s="116"/>
      <c r="AZ66" s="117"/>
      <c r="BA66" s="117"/>
      <c r="BB66" s="118"/>
      <c r="BC66" s="116"/>
      <c r="BD66" s="117"/>
      <c r="BE66" s="117"/>
      <c r="BF66" s="118"/>
      <c r="BI66" t="s">
        <v>45</v>
      </c>
      <c r="BL66" t="s">
        <v>48</v>
      </c>
      <c r="BN66" t="s">
        <v>54</v>
      </c>
      <c r="BP66" t="s">
        <v>62</v>
      </c>
      <c r="BR66" t="s">
        <v>62</v>
      </c>
    </row>
    <row r="67" spans="2:70" x14ac:dyDescent="0.3">
      <c r="B67" s="731"/>
      <c r="C67" s="543"/>
      <c r="D67" s="723"/>
      <c r="E67" s="559" t="s">
        <v>20</v>
      </c>
      <c r="F67" s="560"/>
      <c r="G67" s="205" t="s">
        <v>1</v>
      </c>
      <c r="H67" s="206" t="s">
        <v>5</v>
      </c>
      <c r="I67" s="207">
        <v>237</v>
      </c>
      <c r="J67" s="207">
        <v>240</v>
      </c>
      <c r="K67" s="116"/>
      <c r="L67" s="117"/>
      <c r="M67" s="117"/>
      <c r="N67" s="118"/>
      <c r="O67" s="116"/>
      <c r="P67" s="120">
        <f>IF(ISNUMBER(FIND(O$13,$G67)),$I67,IF(ISNUMBER(FIND(O$13,$H67)),$J67,""))</f>
        <v>237</v>
      </c>
      <c r="Q67" s="117"/>
      <c r="R67" s="118"/>
      <c r="S67" s="116"/>
      <c r="T67" s="117"/>
      <c r="U67" s="117"/>
      <c r="V67" s="118"/>
      <c r="W67" s="116"/>
      <c r="X67" s="117"/>
      <c r="Y67" s="117"/>
      <c r="Z67" s="118"/>
      <c r="AA67" s="116"/>
      <c r="AB67" s="117"/>
      <c r="AC67" s="117"/>
      <c r="AD67" s="118"/>
      <c r="AE67" s="116"/>
      <c r="AF67" s="120">
        <f>IF(ISNUMBER(FIND(AE$13,$G67)),$I67,IF(ISNUMBER(FIND(AE$13,$H67)),$J67,""))</f>
        <v>240</v>
      </c>
      <c r="AG67" s="117"/>
      <c r="AH67" s="118"/>
      <c r="AI67" s="116"/>
      <c r="AJ67" s="117"/>
      <c r="AK67" s="117"/>
      <c r="AL67" s="118"/>
      <c r="AM67" s="116"/>
      <c r="AN67" s="117"/>
      <c r="AO67" s="117"/>
      <c r="AP67" s="118"/>
      <c r="AQ67" s="116"/>
      <c r="AR67" s="117"/>
      <c r="AS67" s="117"/>
      <c r="AT67" s="118"/>
      <c r="AU67" s="116"/>
      <c r="AV67" s="117"/>
      <c r="AW67" s="117"/>
      <c r="AX67" s="118"/>
      <c r="AY67" s="116"/>
      <c r="AZ67" s="117"/>
      <c r="BA67" s="117"/>
      <c r="BB67" s="118"/>
      <c r="BC67" s="116"/>
      <c r="BD67" s="117"/>
      <c r="BE67" s="117"/>
      <c r="BF67" s="118"/>
    </row>
    <row r="68" spans="2:70" x14ac:dyDescent="0.3">
      <c r="B68" s="731"/>
      <c r="C68" s="543"/>
      <c r="D68" s="723"/>
      <c r="E68" s="559" t="s">
        <v>21</v>
      </c>
      <c r="F68" s="560"/>
      <c r="G68" s="205" t="s">
        <v>3</v>
      </c>
      <c r="H68" s="206" t="s">
        <v>11</v>
      </c>
      <c r="I68" s="207">
        <v>207</v>
      </c>
      <c r="J68" s="207">
        <v>217</v>
      </c>
      <c r="K68" s="116"/>
      <c r="L68" s="117"/>
      <c r="M68" s="117"/>
      <c r="N68" s="118"/>
      <c r="O68" s="116"/>
      <c r="P68" s="117"/>
      <c r="Q68" s="117"/>
      <c r="R68" s="118"/>
      <c r="S68" s="116"/>
      <c r="T68" s="117"/>
      <c r="U68" s="117"/>
      <c r="V68" s="118"/>
      <c r="W68" s="116"/>
      <c r="X68" s="120">
        <f>IF(ISNUMBER(FIND(W$13,$G68)),$I68,IF(ISNUMBER(FIND(W$13,$H68)),$J68,""))</f>
        <v>207</v>
      </c>
      <c r="Y68" s="117"/>
      <c r="Z68" s="118"/>
      <c r="AA68" s="116"/>
      <c r="AB68" s="117"/>
      <c r="AC68" s="117"/>
      <c r="AD68" s="118"/>
      <c r="AE68" s="116"/>
      <c r="AF68" s="117"/>
      <c r="AG68" s="117"/>
      <c r="AH68" s="118"/>
      <c r="AI68" s="116"/>
      <c r="AJ68" s="117"/>
      <c r="AK68" s="117"/>
      <c r="AL68" s="118"/>
      <c r="AM68" s="116"/>
      <c r="AN68" s="117"/>
      <c r="AO68" s="117"/>
      <c r="AP68" s="118"/>
      <c r="AQ68" s="116"/>
      <c r="AR68" s="117"/>
      <c r="AS68" s="117"/>
      <c r="AT68" s="118"/>
      <c r="AU68" s="116"/>
      <c r="AV68" s="117"/>
      <c r="AW68" s="117"/>
      <c r="AX68" s="118"/>
      <c r="AY68" s="116"/>
      <c r="AZ68" s="117"/>
      <c r="BA68" s="117"/>
      <c r="BB68" s="118"/>
      <c r="BC68" s="116"/>
      <c r="BD68" s="120">
        <f>IF(ISNUMBER(FIND(BC$13,$G68)),$I68,IF(ISNUMBER(FIND(BC$13,$H68)),$J68,""))</f>
        <v>217</v>
      </c>
      <c r="BE68" s="117"/>
      <c r="BF68" s="118"/>
    </row>
    <row r="69" spans="2:70" x14ac:dyDescent="0.3">
      <c r="B69" s="731"/>
      <c r="C69" s="543"/>
      <c r="D69" s="723"/>
      <c r="E69" s="559" t="s">
        <v>22</v>
      </c>
      <c r="F69" s="560"/>
      <c r="G69" s="205" t="s">
        <v>6</v>
      </c>
      <c r="H69" s="206" t="s">
        <v>10</v>
      </c>
      <c r="I69" s="207">
        <v>186</v>
      </c>
      <c r="J69" s="207">
        <v>242</v>
      </c>
      <c r="K69" s="116"/>
      <c r="L69" s="117"/>
      <c r="M69" s="117"/>
      <c r="N69" s="118"/>
      <c r="O69" s="116"/>
      <c r="P69" s="117"/>
      <c r="Q69" s="117"/>
      <c r="R69" s="118"/>
      <c r="S69" s="116"/>
      <c r="T69" s="117"/>
      <c r="U69" s="117"/>
      <c r="V69" s="118"/>
      <c r="W69" s="116"/>
      <c r="X69" s="117"/>
      <c r="Y69" s="117"/>
      <c r="Z69" s="118"/>
      <c r="AA69" s="116"/>
      <c r="AB69" s="117"/>
      <c r="AC69" s="117"/>
      <c r="AD69" s="118"/>
      <c r="AE69" s="116"/>
      <c r="AF69" s="117"/>
      <c r="AG69" s="117"/>
      <c r="AH69" s="118"/>
      <c r="AI69" s="116"/>
      <c r="AJ69" s="120">
        <f>IF(ISNUMBER(FIND(AI$13,$G69)),$I69,IF(ISNUMBER(FIND(AI$13,$H69)),$J69,""))</f>
        <v>186</v>
      </c>
      <c r="AK69" s="117"/>
      <c r="AL69" s="118"/>
      <c r="AM69" s="116"/>
      <c r="AN69" s="117"/>
      <c r="AO69" s="117"/>
      <c r="AP69" s="118"/>
      <c r="AQ69" s="116"/>
      <c r="AR69" s="117"/>
      <c r="AS69" s="117"/>
      <c r="AT69" s="118"/>
      <c r="AU69" s="116"/>
      <c r="AV69" s="117"/>
      <c r="AW69" s="117"/>
      <c r="AX69" s="118"/>
      <c r="AY69" s="116"/>
      <c r="AZ69" s="120">
        <f>IF(ISNUMBER(FIND(AY$13,$G69)),$I69,IF(ISNUMBER(FIND(AY$13,$H69)),$J69,""))</f>
        <v>242</v>
      </c>
      <c r="BA69" s="117"/>
      <c r="BB69" s="118"/>
      <c r="BC69" s="116"/>
      <c r="BD69" s="117"/>
      <c r="BE69" s="117"/>
      <c r="BF69" s="118"/>
    </row>
    <row r="70" spans="2:70" x14ac:dyDescent="0.3">
      <c r="B70" s="731"/>
      <c r="C70" s="543"/>
      <c r="D70" s="723"/>
      <c r="E70" s="559" t="s">
        <v>23</v>
      </c>
      <c r="F70" s="560"/>
      <c r="G70" s="205" t="s">
        <v>0</v>
      </c>
      <c r="H70" s="206" t="s">
        <v>8</v>
      </c>
      <c r="I70" s="207">
        <v>240</v>
      </c>
      <c r="J70" s="207">
        <v>172</v>
      </c>
      <c r="K70" s="116"/>
      <c r="L70" s="120">
        <f>IF(ISNUMBER(FIND(K$13,$G70)),$I70,IF(ISNUMBER(FIND(K$13,$H70)),$J70,""))</f>
        <v>240</v>
      </c>
      <c r="M70" s="117"/>
      <c r="N70" s="118"/>
      <c r="O70" s="116"/>
      <c r="P70" s="117"/>
      <c r="Q70" s="117"/>
      <c r="R70" s="118"/>
      <c r="S70" s="116"/>
      <c r="T70" s="117"/>
      <c r="U70" s="117"/>
      <c r="V70" s="118"/>
      <c r="W70" s="116"/>
      <c r="X70" s="117"/>
      <c r="Y70" s="117"/>
      <c r="Z70" s="118"/>
      <c r="AA70" s="116"/>
      <c r="AB70" s="117"/>
      <c r="AC70" s="117"/>
      <c r="AD70" s="118"/>
      <c r="AE70" s="116"/>
      <c r="AF70" s="117"/>
      <c r="AG70" s="117"/>
      <c r="AH70" s="118"/>
      <c r="AI70" s="116"/>
      <c r="AJ70" s="117"/>
      <c r="AK70" s="117"/>
      <c r="AL70" s="118"/>
      <c r="AM70" s="116"/>
      <c r="AN70" s="117"/>
      <c r="AO70" s="117"/>
      <c r="AP70" s="118"/>
      <c r="AQ70" s="116"/>
      <c r="AR70" s="120">
        <f>IF(ISNUMBER(FIND(AQ$13,$G70)),$I70,IF(ISNUMBER(FIND(AQ$13,$H70)),$J70,""))</f>
        <v>172</v>
      </c>
      <c r="AS70" s="117"/>
      <c r="AT70" s="118"/>
      <c r="AU70" s="116"/>
      <c r="AV70" s="117"/>
      <c r="AW70" s="117"/>
      <c r="AX70" s="118"/>
      <c r="AY70" s="116"/>
      <c r="AZ70" s="117"/>
      <c r="BA70" s="117"/>
      <c r="BB70" s="118"/>
      <c r="BC70" s="116"/>
      <c r="BD70" s="117"/>
      <c r="BE70" s="117"/>
      <c r="BF70" s="118"/>
    </row>
    <row r="71" spans="2:70" ht="14.5" thickBot="1" x14ac:dyDescent="0.35">
      <c r="B71" s="731"/>
      <c r="C71" s="543"/>
      <c r="D71" s="723"/>
      <c r="E71" s="559" t="s">
        <v>24</v>
      </c>
      <c r="F71" s="560"/>
      <c r="G71" s="208" t="s">
        <v>2</v>
      </c>
      <c r="H71" s="209" t="s">
        <v>3</v>
      </c>
      <c r="I71" s="210">
        <v>157</v>
      </c>
      <c r="J71" s="210">
        <v>225</v>
      </c>
      <c r="K71" s="122"/>
      <c r="L71" s="123"/>
      <c r="M71" s="123"/>
      <c r="N71" s="124"/>
      <c r="O71" s="122"/>
      <c r="P71" s="123"/>
      <c r="Q71" s="123"/>
      <c r="R71" s="124"/>
      <c r="S71" s="122"/>
      <c r="T71" s="167">
        <f>IF(ISNUMBER(FIND(S$13,$G71)),$I71,IF(ISNUMBER(FIND(S$13,$H71)),$J71,""))</f>
        <v>157</v>
      </c>
      <c r="U71" s="123"/>
      <c r="V71" s="124"/>
      <c r="W71" s="122"/>
      <c r="X71" s="167">
        <f>IF(ISNUMBER(FIND(W$13,$G71)),$I71,IF(ISNUMBER(FIND(W$13,$H71)),$J71,""))</f>
        <v>225</v>
      </c>
      <c r="Y71" s="123"/>
      <c r="Z71" s="124"/>
      <c r="AA71" s="122"/>
      <c r="AB71" s="123"/>
      <c r="AC71" s="123"/>
      <c r="AD71" s="124"/>
      <c r="AE71" s="122"/>
      <c r="AF71" s="123"/>
      <c r="AG71" s="123"/>
      <c r="AH71" s="124"/>
      <c r="AI71" s="122"/>
      <c r="AJ71" s="123"/>
      <c r="AK71" s="123"/>
      <c r="AL71" s="124"/>
      <c r="AM71" s="122"/>
      <c r="AN71" s="123"/>
      <c r="AO71" s="123"/>
      <c r="AP71" s="124"/>
      <c r="AQ71" s="122"/>
      <c r="AR71" s="123"/>
      <c r="AS71" s="123"/>
      <c r="AT71" s="124"/>
      <c r="AU71" s="122"/>
      <c r="AV71" s="123"/>
      <c r="AW71" s="123"/>
      <c r="AX71" s="124"/>
      <c r="AY71" s="122"/>
      <c r="AZ71" s="123"/>
      <c r="BA71" s="123"/>
      <c r="BB71" s="124"/>
      <c r="BC71" s="122"/>
      <c r="BD71" s="123"/>
      <c r="BE71" s="123"/>
      <c r="BF71" s="124"/>
    </row>
    <row r="72" spans="2:70" x14ac:dyDescent="0.3">
      <c r="B72" s="731"/>
      <c r="C72" s="543"/>
      <c r="D72" s="722" t="s">
        <v>243</v>
      </c>
      <c r="E72" s="703" t="s">
        <v>17</v>
      </c>
      <c r="F72" s="704"/>
      <c r="G72" s="202" t="s">
        <v>5</v>
      </c>
      <c r="H72" s="203" t="s">
        <v>10</v>
      </c>
      <c r="I72" s="186">
        <f>I64/MAX($I64:$J64)*210</f>
        <v>210</v>
      </c>
      <c r="J72" s="187">
        <f t="shared" ref="J72:J79" si="9">J64/MAX($I64:$J64)*210</f>
        <v>126.74008810572688</v>
      </c>
      <c r="K72" s="125"/>
      <c r="L72" s="114"/>
      <c r="M72" s="114"/>
      <c r="N72" s="115"/>
      <c r="O72" s="125"/>
      <c r="P72" s="114"/>
      <c r="Q72" s="114"/>
      <c r="R72" s="115"/>
      <c r="S72" s="125"/>
      <c r="T72" s="114"/>
      <c r="U72" s="114"/>
      <c r="V72" s="115"/>
      <c r="W72" s="125"/>
      <c r="X72" s="114"/>
      <c r="Y72" s="114"/>
      <c r="Z72" s="115"/>
      <c r="AA72" s="125"/>
      <c r="AB72" s="114"/>
      <c r="AC72" s="114"/>
      <c r="AD72" s="115"/>
      <c r="AE72" s="125"/>
      <c r="AF72" s="120">
        <f>AF64/MAX($K64:$BE64)*210</f>
        <v>210</v>
      </c>
      <c r="AG72" s="114"/>
      <c r="AH72" s="115"/>
      <c r="AI72" s="125"/>
      <c r="AJ72" s="114"/>
      <c r="AK72" s="114"/>
      <c r="AL72" s="115"/>
      <c r="AM72" s="125"/>
      <c r="AN72" s="114"/>
      <c r="AO72" s="114"/>
      <c r="AP72" s="115"/>
      <c r="AQ72" s="125"/>
      <c r="AR72" s="114"/>
      <c r="AS72" s="114"/>
      <c r="AT72" s="115"/>
      <c r="AU72" s="125"/>
      <c r="AV72" s="114"/>
      <c r="AW72" s="114"/>
      <c r="AX72" s="115"/>
      <c r="AY72" s="125"/>
      <c r="AZ72" s="120">
        <f>AZ64/MAX($K64:$BE64)*210</f>
        <v>126.74008810572688</v>
      </c>
      <c r="BA72" s="114"/>
      <c r="BB72" s="115"/>
      <c r="BC72" s="125"/>
      <c r="BD72" s="114"/>
      <c r="BE72" s="114"/>
      <c r="BF72" s="115"/>
    </row>
    <row r="73" spans="2:70" x14ac:dyDescent="0.3">
      <c r="B73" s="731"/>
      <c r="C73" s="543"/>
      <c r="D73" s="723"/>
      <c r="E73" s="559" t="s">
        <v>18</v>
      </c>
      <c r="F73" s="560"/>
      <c r="G73" s="205" t="s">
        <v>0</v>
      </c>
      <c r="H73" s="206" t="s">
        <v>1</v>
      </c>
      <c r="I73" s="188">
        <f t="shared" ref="I73" si="10">I65/MAX($I65:$J65)*210</f>
        <v>192.10762331838563</v>
      </c>
      <c r="J73" s="189">
        <f t="shared" si="9"/>
        <v>210</v>
      </c>
      <c r="K73" s="116"/>
      <c r="L73" s="120">
        <f>L65/MAX($K65:$BE65)*210</f>
        <v>192.10762331838563</v>
      </c>
      <c r="M73" s="117"/>
      <c r="N73" s="118"/>
      <c r="O73" s="116"/>
      <c r="P73" s="120">
        <f>P65/MAX($K65:$BE65)*210</f>
        <v>210</v>
      </c>
      <c r="Q73" s="117"/>
      <c r="R73" s="118"/>
      <c r="S73" s="116"/>
      <c r="T73" s="117"/>
      <c r="U73" s="117"/>
      <c r="V73" s="118"/>
      <c r="W73" s="116"/>
      <c r="X73" s="117"/>
      <c r="Y73" s="117"/>
      <c r="Z73" s="118"/>
      <c r="AA73" s="116"/>
      <c r="AB73" s="117"/>
      <c r="AC73" s="117"/>
      <c r="AD73" s="118"/>
      <c r="AE73" s="116"/>
      <c r="AF73" s="117"/>
      <c r="AG73" s="117"/>
      <c r="AH73" s="118"/>
      <c r="AI73" s="116"/>
      <c r="AJ73" s="117"/>
      <c r="AK73" s="117"/>
      <c r="AL73" s="118"/>
      <c r="AM73" s="116"/>
      <c r="AN73" s="117"/>
      <c r="AO73" s="117"/>
      <c r="AP73" s="118"/>
      <c r="AQ73" s="116"/>
      <c r="AR73" s="117"/>
      <c r="AS73" s="117"/>
      <c r="AT73" s="118"/>
      <c r="AU73" s="116"/>
      <c r="AV73" s="117"/>
      <c r="AW73" s="117"/>
      <c r="AX73" s="118"/>
      <c r="AY73" s="116"/>
      <c r="AZ73" s="117"/>
      <c r="BA73" s="117"/>
      <c r="BB73" s="118"/>
      <c r="BC73" s="116"/>
      <c r="BD73" s="117"/>
      <c r="BE73" s="117"/>
      <c r="BF73" s="118"/>
    </row>
    <row r="74" spans="2:70" x14ac:dyDescent="0.3">
      <c r="B74" s="731"/>
      <c r="C74" s="543"/>
      <c r="D74" s="723"/>
      <c r="E74" s="559" t="s">
        <v>19</v>
      </c>
      <c r="F74" s="560"/>
      <c r="G74" s="205" t="s">
        <v>4</v>
      </c>
      <c r="H74" s="206" t="s">
        <v>8</v>
      </c>
      <c r="I74" s="188">
        <f t="shared" ref="I74" si="11">I66/MAX($I66:$J66)*210</f>
        <v>210</v>
      </c>
      <c r="J74" s="189">
        <f t="shared" si="9"/>
        <v>142.65822784810126</v>
      </c>
      <c r="K74" s="116"/>
      <c r="L74" s="117"/>
      <c r="M74" s="117"/>
      <c r="N74" s="118"/>
      <c r="O74" s="116"/>
      <c r="P74" s="117"/>
      <c r="Q74" s="117"/>
      <c r="R74" s="118"/>
      <c r="S74" s="116"/>
      <c r="T74" s="117"/>
      <c r="U74" s="117"/>
      <c r="V74" s="118"/>
      <c r="W74" s="116"/>
      <c r="X74" s="117"/>
      <c r="Y74" s="117"/>
      <c r="Z74" s="118"/>
      <c r="AA74" s="116"/>
      <c r="AB74" s="120">
        <f>AB66/MAX($K66:$BE66)*210</f>
        <v>210</v>
      </c>
      <c r="AC74" s="117"/>
      <c r="AD74" s="118"/>
      <c r="AE74" s="116"/>
      <c r="AF74" s="117"/>
      <c r="AG74" s="117"/>
      <c r="AH74" s="118"/>
      <c r="AI74" s="116"/>
      <c r="AJ74" s="117"/>
      <c r="AK74" s="117"/>
      <c r="AL74" s="118"/>
      <c r="AM74" s="116"/>
      <c r="AN74" s="117"/>
      <c r="AO74" s="117"/>
      <c r="AP74" s="118"/>
      <c r="AQ74" s="116"/>
      <c r="AR74" s="120">
        <f>AR66/MAX($K66:$BE66)*210</f>
        <v>142.65822784810126</v>
      </c>
      <c r="AS74" s="117"/>
      <c r="AT74" s="118"/>
      <c r="AU74" s="116"/>
      <c r="AV74" s="117"/>
      <c r="AW74" s="117"/>
      <c r="AX74" s="118"/>
      <c r="AY74" s="116"/>
      <c r="AZ74" s="117"/>
      <c r="BA74" s="117"/>
      <c r="BB74" s="118"/>
      <c r="BC74" s="116"/>
      <c r="BD74" s="117"/>
      <c r="BE74" s="117"/>
      <c r="BF74" s="118"/>
    </row>
    <row r="75" spans="2:70" x14ac:dyDescent="0.3">
      <c r="B75" s="731"/>
      <c r="C75" s="543"/>
      <c r="D75" s="723"/>
      <c r="E75" s="559" t="s">
        <v>20</v>
      </c>
      <c r="F75" s="560"/>
      <c r="G75" s="205" t="s">
        <v>1</v>
      </c>
      <c r="H75" s="206" t="s">
        <v>5</v>
      </c>
      <c r="I75" s="188">
        <f t="shared" ref="I75" si="12">I67/MAX($I67:$J67)*210</f>
        <v>207.375</v>
      </c>
      <c r="J75" s="189">
        <f t="shared" si="9"/>
        <v>210</v>
      </c>
      <c r="K75" s="116"/>
      <c r="L75" s="117"/>
      <c r="M75" s="117"/>
      <c r="N75" s="118"/>
      <c r="O75" s="116"/>
      <c r="P75" s="120">
        <f>P67/MAX($K67:$BE67)*210</f>
        <v>207.375</v>
      </c>
      <c r="Q75" s="117"/>
      <c r="R75" s="118"/>
      <c r="S75" s="116"/>
      <c r="T75" s="117"/>
      <c r="U75" s="117"/>
      <c r="V75" s="118"/>
      <c r="W75" s="116"/>
      <c r="X75" s="117"/>
      <c r="Y75" s="117"/>
      <c r="Z75" s="118"/>
      <c r="AA75" s="116"/>
      <c r="AB75" s="117"/>
      <c r="AC75" s="117"/>
      <c r="AD75" s="118"/>
      <c r="AE75" s="116"/>
      <c r="AF75" s="120">
        <f>AF67/MAX($K67:$BE67)*210</f>
        <v>210</v>
      </c>
      <c r="AG75" s="117"/>
      <c r="AH75" s="118"/>
      <c r="AI75" s="116"/>
      <c r="AJ75" s="117"/>
      <c r="AK75" s="117"/>
      <c r="AL75" s="118"/>
      <c r="AM75" s="116"/>
      <c r="AN75" s="117"/>
      <c r="AO75" s="117"/>
      <c r="AP75" s="118"/>
      <c r="AQ75" s="116"/>
      <c r="AR75" s="117"/>
      <c r="AS75" s="117"/>
      <c r="AT75" s="118"/>
      <c r="AU75" s="116"/>
      <c r="AV75" s="117"/>
      <c r="AW75" s="117"/>
      <c r="AX75" s="118"/>
      <c r="AY75" s="116"/>
      <c r="AZ75" s="117"/>
      <c r="BA75" s="117"/>
      <c r="BB75" s="118"/>
      <c r="BC75" s="116"/>
      <c r="BD75" s="117"/>
      <c r="BE75" s="117"/>
      <c r="BF75" s="118"/>
    </row>
    <row r="76" spans="2:70" x14ac:dyDescent="0.3">
      <c r="B76" s="731"/>
      <c r="C76" s="543"/>
      <c r="D76" s="723"/>
      <c r="E76" s="559" t="s">
        <v>21</v>
      </c>
      <c r="F76" s="560"/>
      <c r="G76" s="205" t="s">
        <v>3</v>
      </c>
      <c r="H76" s="206" t="s">
        <v>11</v>
      </c>
      <c r="I76" s="188">
        <f t="shared" ref="I76" si="13">I68/MAX($I68:$J68)*210</f>
        <v>200.32258064516128</v>
      </c>
      <c r="J76" s="189">
        <f t="shared" si="9"/>
        <v>210</v>
      </c>
      <c r="K76" s="116"/>
      <c r="L76" s="117"/>
      <c r="M76" s="117"/>
      <c r="N76" s="118"/>
      <c r="O76" s="116"/>
      <c r="P76" s="117"/>
      <c r="Q76" s="117"/>
      <c r="R76" s="118"/>
      <c r="S76" s="116"/>
      <c r="T76" s="117"/>
      <c r="U76" s="117"/>
      <c r="V76" s="118"/>
      <c r="W76" s="116"/>
      <c r="X76" s="120">
        <f>X68/MAX($K68:$BE68)*210</f>
        <v>200.32258064516128</v>
      </c>
      <c r="Y76" s="117"/>
      <c r="Z76" s="118"/>
      <c r="AA76" s="116"/>
      <c r="AB76" s="117"/>
      <c r="AC76" s="117"/>
      <c r="AD76" s="118"/>
      <c r="AE76" s="116"/>
      <c r="AF76" s="117"/>
      <c r="AG76" s="117"/>
      <c r="AH76" s="118"/>
      <c r="AI76" s="116"/>
      <c r="AJ76" s="117"/>
      <c r="AK76" s="117"/>
      <c r="AL76" s="118"/>
      <c r="AM76" s="116"/>
      <c r="AN76" s="117"/>
      <c r="AO76" s="117"/>
      <c r="AP76" s="118"/>
      <c r="AQ76" s="116"/>
      <c r="AR76" s="117"/>
      <c r="AS76" s="117"/>
      <c r="AT76" s="118"/>
      <c r="AU76" s="116"/>
      <c r="AV76" s="117"/>
      <c r="AW76" s="117"/>
      <c r="AX76" s="118"/>
      <c r="AY76" s="116"/>
      <c r="AZ76" s="117"/>
      <c r="BA76" s="117"/>
      <c r="BB76" s="118"/>
      <c r="BC76" s="116"/>
      <c r="BD76" s="120">
        <f>BD68/MAX($K68:$BE68)*210</f>
        <v>210</v>
      </c>
      <c r="BE76" s="117"/>
      <c r="BF76" s="118"/>
    </row>
    <row r="77" spans="2:70" x14ac:dyDescent="0.3">
      <c r="B77" s="731"/>
      <c r="C77" s="543"/>
      <c r="D77" s="723"/>
      <c r="E77" s="559" t="s">
        <v>22</v>
      </c>
      <c r="F77" s="560"/>
      <c r="G77" s="205" t="s">
        <v>6</v>
      </c>
      <c r="H77" s="206" t="s">
        <v>10</v>
      </c>
      <c r="I77" s="188">
        <f t="shared" ref="I77" si="14">I69/MAX($I69:$J69)*210</f>
        <v>161.40495867768595</v>
      </c>
      <c r="J77" s="189">
        <f t="shared" si="9"/>
        <v>210</v>
      </c>
      <c r="K77" s="116"/>
      <c r="L77" s="117"/>
      <c r="M77" s="117"/>
      <c r="N77" s="118"/>
      <c r="O77" s="116"/>
      <c r="P77" s="117"/>
      <c r="Q77" s="117"/>
      <c r="R77" s="118"/>
      <c r="S77" s="116"/>
      <c r="T77" s="117"/>
      <c r="U77" s="117"/>
      <c r="V77" s="118"/>
      <c r="W77" s="116"/>
      <c r="X77" s="117"/>
      <c r="Y77" s="117"/>
      <c r="Z77" s="118"/>
      <c r="AA77" s="116"/>
      <c r="AB77" s="117"/>
      <c r="AC77" s="117"/>
      <c r="AD77" s="118"/>
      <c r="AE77" s="116"/>
      <c r="AF77" s="117"/>
      <c r="AG77" s="117"/>
      <c r="AH77" s="118"/>
      <c r="AI77" s="116"/>
      <c r="AJ77" s="120">
        <f>AJ69/MAX($K69:$BE69)*210</f>
        <v>161.40495867768595</v>
      </c>
      <c r="AK77" s="117"/>
      <c r="AL77" s="118"/>
      <c r="AM77" s="116"/>
      <c r="AN77" s="117"/>
      <c r="AO77" s="117"/>
      <c r="AP77" s="118"/>
      <c r="AQ77" s="116"/>
      <c r="AR77" s="117"/>
      <c r="AS77" s="117"/>
      <c r="AT77" s="118"/>
      <c r="AU77" s="116"/>
      <c r="AV77" s="117"/>
      <c r="AW77" s="117"/>
      <c r="AX77" s="118"/>
      <c r="AY77" s="116"/>
      <c r="AZ77" s="120">
        <f>AZ69/MAX($K69:$BE69)*210</f>
        <v>210</v>
      </c>
      <c r="BA77" s="117"/>
      <c r="BB77" s="118"/>
      <c r="BC77" s="116"/>
      <c r="BD77" s="117"/>
      <c r="BE77" s="117"/>
      <c r="BF77" s="118"/>
    </row>
    <row r="78" spans="2:70" x14ac:dyDescent="0.3">
      <c r="B78" s="731"/>
      <c r="C78" s="543"/>
      <c r="D78" s="723"/>
      <c r="E78" s="559" t="s">
        <v>23</v>
      </c>
      <c r="F78" s="560"/>
      <c r="G78" s="205" t="s">
        <v>0</v>
      </c>
      <c r="H78" s="206" t="s">
        <v>8</v>
      </c>
      <c r="I78" s="188">
        <f t="shared" ref="I78" si="15">I70/MAX($I70:$J70)*210</f>
        <v>210</v>
      </c>
      <c r="J78" s="189">
        <f t="shared" si="9"/>
        <v>150.5</v>
      </c>
      <c r="K78" s="116"/>
      <c r="L78" s="120">
        <f>L70/MAX($K70:$BE70)*210</f>
        <v>210</v>
      </c>
      <c r="M78" s="117"/>
      <c r="N78" s="118"/>
      <c r="O78" s="116"/>
      <c r="P78" s="117"/>
      <c r="Q78" s="117"/>
      <c r="R78" s="118"/>
      <c r="S78" s="116"/>
      <c r="T78" s="117"/>
      <c r="U78" s="117"/>
      <c r="V78" s="118"/>
      <c r="W78" s="116"/>
      <c r="X78" s="117"/>
      <c r="Y78" s="117"/>
      <c r="Z78" s="118"/>
      <c r="AA78" s="116"/>
      <c r="AB78" s="117"/>
      <c r="AC78" s="117"/>
      <c r="AD78" s="118"/>
      <c r="AE78" s="116"/>
      <c r="AF78" s="117"/>
      <c r="AG78" s="117"/>
      <c r="AH78" s="118"/>
      <c r="AI78" s="116"/>
      <c r="AJ78" s="117"/>
      <c r="AK78" s="117"/>
      <c r="AL78" s="118"/>
      <c r="AM78" s="116"/>
      <c r="AN78" s="117"/>
      <c r="AO78" s="117"/>
      <c r="AP78" s="118"/>
      <c r="AQ78" s="116"/>
      <c r="AR78" s="120">
        <f>AR70/MAX($K70:$BE70)*210</f>
        <v>150.5</v>
      </c>
      <c r="AS78" s="117"/>
      <c r="AT78" s="118"/>
      <c r="AU78" s="116"/>
      <c r="AV78" s="117"/>
      <c r="AW78" s="117"/>
      <c r="AX78" s="118"/>
      <c r="AY78" s="116"/>
      <c r="AZ78" s="117"/>
      <c r="BA78" s="117"/>
      <c r="BB78" s="118"/>
      <c r="BC78" s="116"/>
      <c r="BD78" s="117"/>
      <c r="BE78" s="117"/>
      <c r="BF78" s="118"/>
    </row>
    <row r="79" spans="2:70" ht="14.5" thickBot="1" x14ac:dyDescent="0.35">
      <c r="B79" s="731"/>
      <c r="C79" s="543"/>
      <c r="D79" s="723"/>
      <c r="E79" s="559" t="s">
        <v>24</v>
      </c>
      <c r="F79" s="560"/>
      <c r="G79" s="208" t="s">
        <v>2</v>
      </c>
      <c r="H79" s="209" t="s">
        <v>3</v>
      </c>
      <c r="I79" s="248">
        <f t="shared" ref="I79" si="16">I71/MAX($I71:$J71)*210</f>
        <v>146.53333333333333</v>
      </c>
      <c r="J79" s="249">
        <f t="shared" si="9"/>
        <v>210</v>
      </c>
      <c r="K79" s="122"/>
      <c r="L79" s="123"/>
      <c r="M79" s="123"/>
      <c r="N79" s="124"/>
      <c r="O79" s="122"/>
      <c r="P79" s="123"/>
      <c r="Q79" s="123"/>
      <c r="R79" s="124"/>
      <c r="S79" s="122"/>
      <c r="T79" s="120">
        <f>T71/MAX($K71:$BE71)*210</f>
        <v>146.53333333333333</v>
      </c>
      <c r="U79" s="123"/>
      <c r="V79" s="124"/>
      <c r="W79" s="122"/>
      <c r="X79" s="120">
        <f>X71/MAX($K71:$BE71)*210</f>
        <v>210</v>
      </c>
      <c r="Y79" s="123"/>
      <c r="Z79" s="124"/>
      <c r="AA79" s="122"/>
      <c r="AB79" s="123"/>
      <c r="AC79" s="123"/>
      <c r="AD79" s="124"/>
      <c r="AE79" s="122"/>
      <c r="AF79" s="123"/>
      <c r="AG79" s="123"/>
      <c r="AH79" s="124"/>
      <c r="AI79" s="122"/>
      <c r="AJ79" s="123"/>
      <c r="AK79" s="123"/>
      <c r="AL79" s="124"/>
      <c r="AM79" s="122"/>
      <c r="AN79" s="123"/>
      <c r="AO79" s="123"/>
      <c r="AP79" s="124"/>
      <c r="AQ79" s="122"/>
      <c r="AR79" s="123"/>
      <c r="AS79" s="123"/>
      <c r="AT79" s="124"/>
      <c r="AU79" s="122"/>
      <c r="AV79" s="123"/>
      <c r="AW79" s="123"/>
      <c r="AX79" s="124"/>
      <c r="AY79" s="122"/>
      <c r="AZ79" s="123"/>
      <c r="BA79" s="123"/>
      <c r="BB79" s="124"/>
      <c r="BC79" s="122"/>
      <c r="BD79" s="123"/>
      <c r="BE79" s="123"/>
      <c r="BF79" s="124"/>
    </row>
    <row r="80" spans="2:70" ht="15" customHeight="1" x14ac:dyDescent="0.3">
      <c r="B80" s="731"/>
      <c r="C80" s="543"/>
      <c r="D80" s="695" t="s">
        <v>242</v>
      </c>
      <c r="E80" s="705" t="s">
        <v>17</v>
      </c>
      <c r="F80" s="706"/>
      <c r="G80" s="211" t="s">
        <v>0</v>
      </c>
      <c r="H80" s="212" t="s">
        <v>9</v>
      </c>
      <c r="I80" s="213">
        <v>14</v>
      </c>
      <c r="J80" s="214">
        <v>3</v>
      </c>
      <c r="K80" s="147"/>
      <c r="L80" s="148"/>
      <c r="M80" s="156">
        <f t="shared" ref="M80" si="17">IF(ISNUMBER(FIND(K$13,$G80)),$I80,IF(ISNUMBER(FIND(K$13,$H80)),$J80,""))</f>
        <v>14</v>
      </c>
      <c r="N80" s="149"/>
      <c r="O80" s="150"/>
      <c r="P80" s="148"/>
      <c r="Q80" s="117"/>
      <c r="R80" s="149"/>
      <c r="S80" s="150"/>
      <c r="T80" s="148"/>
      <c r="U80" s="117"/>
      <c r="V80" s="149"/>
      <c r="W80" s="150"/>
      <c r="X80" s="148"/>
      <c r="Y80" s="117"/>
      <c r="Z80" s="149"/>
      <c r="AA80" s="150"/>
      <c r="AB80" s="148"/>
      <c r="AC80" s="117"/>
      <c r="AD80" s="149"/>
      <c r="AE80" s="150"/>
      <c r="AF80" s="148"/>
      <c r="AG80" s="117"/>
      <c r="AH80" s="149"/>
      <c r="AI80" s="150"/>
      <c r="AJ80" s="148"/>
      <c r="AK80" s="117"/>
      <c r="AL80" s="149"/>
      <c r="AM80" s="150"/>
      <c r="AN80" s="148"/>
      <c r="AO80" s="117"/>
      <c r="AP80" s="149"/>
      <c r="AQ80" s="150"/>
      <c r="AR80" s="148"/>
      <c r="AS80" s="117"/>
      <c r="AT80" s="149"/>
      <c r="AU80" s="150"/>
      <c r="AV80" s="148"/>
      <c r="AW80" s="156">
        <f t="shared" ref="AW80" si="18">IF(ISNUMBER(FIND(AU$13,$G80)),$I80,IF(ISNUMBER(FIND(AU$13,$H80)),$J80,""))</f>
        <v>3</v>
      </c>
      <c r="AX80" s="149"/>
      <c r="AY80" s="150"/>
      <c r="AZ80" s="148"/>
      <c r="BA80" s="117"/>
      <c r="BB80" s="149"/>
      <c r="BC80" s="150"/>
      <c r="BD80" s="148"/>
      <c r="BE80" s="117"/>
      <c r="BF80" s="149"/>
      <c r="BH80">
        <v>9</v>
      </c>
      <c r="BI80" t="s">
        <v>35</v>
      </c>
      <c r="BL80" t="s">
        <v>40</v>
      </c>
      <c r="BN80" t="s">
        <v>50</v>
      </c>
      <c r="BP80" s="8" t="s">
        <v>58</v>
      </c>
      <c r="BR80" t="s">
        <v>65</v>
      </c>
    </row>
    <row r="81" spans="2:70" x14ac:dyDescent="0.3">
      <c r="B81" s="731"/>
      <c r="C81" s="543"/>
      <c r="D81" s="696"/>
      <c r="E81" s="697" t="s">
        <v>18</v>
      </c>
      <c r="F81" s="698"/>
      <c r="G81" s="215" t="s">
        <v>2</v>
      </c>
      <c r="H81" s="216" t="s">
        <v>3</v>
      </c>
      <c r="I81" s="213">
        <v>14</v>
      </c>
      <c r="J81" s="217">
        <v>5</v>
      </c>
      <c r="K81" s="152"/>
      <c r="L81" s="153"/>
      <c r="M81" s="117"/>
      <c r="N81" s="154"/>
      <c r="O81" s="155"/>
      <c r="P81" s="153"/>
      <c r="Q81" s="117"/>
      <c r="R81" s="154"/>
      <c r="S81" s="155"/>
      <c r="T81" s="153"/>
      <c r="U81" s="156">
        <f t="shared" ref="U81" si="19">IF(ISNUMBER(FIND(S$13,$G81)),$I81,IF(ISNUMBER(FIND(S$13,$H81)),$J81,""))</f>
        <v>14</v>
      </c>
      <c r="V81" s="154"/>
      <c r="W81" s="155"/>
      <c r="X81" s="153"/>
      <c r="Y81" s="156">
        <f t="shared" ref="Y81" si="20">IF(ISNUMBER(FIND(W$13,$G81)),$I81,IF(ISNUMBER(FIND(W$13,$H81)),$J81,""))</f>
        <v>5</v>
      </c>
      <c r="Z81" s="154"/>
      <c r="AA81" s="155"/>
      <c r="AB81" s="153"/>
      <c r="AC81" s="117"/>
      <c r="AD81" s="154"/>
      <c r="AE81" s="155"/>
      <c r="AF81" s="153"/>
      <c r="AG81" s="117"/>
      <c r="AH81" s="154"/>
      <c r="AI81" s="155"/>
      <c r="AJ81" s="153"/>
      <c r="AK81" s="117"/>
      <c r="AL81" s="154"/>
      <c r="AM81" s="155"/>
      <c r="AN81" s="153"/>
      <c r="AO81" s="117"/>
      <c r="AP81" s="154"/>
      <c r="AQ81" s="155"/>
      <c r="AR81" s="153"/>
      <c r="AS81" s="117"/>
      <c r="AT81" s="154"/>
      <c r="AU81" s="155"/>
      <c r="AV81" s="153"/>
      <c r="AW81" s="117"/>
      <c r="AX81" s="154"/>
      <c r="AY81" s="155"/>
      <c r="AZ81" s="153"/>
      <c r="BA81" s="117"/>
      <c r="BB81" s="154"/>
      <c r="BC81" s="155"/>
      <c r="BD81" s="153"/>
      <c r="BE81" s="117"/>
      <c r="BF81" s="154"/>
      <c r="BH81">
        <v>4</v>
      </c>
      <c r="BI81" t="s">
        <v>30</v>
      </c>
      <c r="BL81" t="s">
        <v>41</v>
      </c>
      <c r="BN81" t="s">
        <v>51</v>
      </c>
      <c r="BP81" t="s">
        <v>59</v>
      </c>
      <c r="BR81" t="s">
        <v>66</v>
      </c>
    </row>
    <row r="82" spans="2:70" x14ac:dyDescent="0.3">
      <c r="B82" s="731"/>
      <c r="C82" s="543"/>
      <c r="D82" s="696"/>
      <c r="E82" s="697" t="s">
        <v>19</v>
      </c>
      <c r="F82" s="698"/>
      <c r="G82" s="215" t="s">
        <v>5</v>
      </c>
      <c r="H82" s="216" t="s">
        <v>6</v>
      </c>
      <c r="I82" s="213">
        <v>3</v>
      </c>
      <c r="J82" s="217">
        <v>14</v>
      </c>
      <c r="K82" s="152"/>
      <c r="L82" s="153"/>
      <c r="M82" s="117"/>
      <c r="N82" s="154"/>
      <c r="O82" s="155"/>
      <c r="P82" s="153"/>
      <c r="Q82" s="117"/>
      <c r="R82" s="154"/>
      <c r="S82" s="155"/>
      <c r="T82" s="153"/>
      <c r="U82" s="117"/>
      <c r="V82" s="154"/>
      <c r="W82" s="155"/>
      <c r="X82" s="153"/>
      <c r="Y82" s="117"/>
      <c r="Z82" s="154"/>
      <c r="AA82" s="155"/>
      <c r="AB82" s="153"/>
      <c r="AC82" s="117"/>
      <c r="AD82" s="154"/>
      <c r="AE82" s="155"/>
      <c r="AF82" s="153"/>
      <c r="AG82" s="156">
        <f t="shared" ref="AG82" si="21">IF(ISNUMBER(FIND(AE$13,$G82)),$I82,IF(ISNUMBER(FIND(AE$13,$H82)),$J82,""))</f>
        <v>3</v>
      </c>
      <c r="AH82" s="154"/>
      <c r="AI82" s="155"/>
      <c r="AJ82" s="153"/>
      <c r="AK82" s="156">
        <f t="shared" ref="AK82" si="22">IF(ISNUMBER(FIND(AI$13,$G82)),$I82,IF(ISNUMBER(FIND(AI$13,$H82)),$J82,""))</f>
        <v>14</v>
      </c>
      <c r="AL82" s="154"/>
      <c r="AM82" s="155"/>
      <c r="AN82" s="153"/>
      <c r="AO82" s="117"/>
      <c r="AP82" s="154"/>
      <c r="AQ82" s="155"/>
      <c r="AR82" s="153"/>
      <c r="AS82" s="117"/>
      <c r="AT82" s="154"/>
      <c r="AU82" s="155"/>
      <c r="AV82" s="153"/>
      <c r="AW82" s="117"/>
      <c r="AX82" s="154"/>
      <c r="AY82" s="155"/>
      <c r="AZ82" s="153"/>
      <c r="BA82" s="117"/>
      <c r="BB82" s="154"/>
      <c r="BC82" s="155"/>
      <c r="BD82" s="153"/>
      <c r="BE82" s="117"/>
      <c r="BF82" s="154"/>
      <c r="BH82">
        <f>BH80*BH81</f>
        <v>36</v>
      </c>
      <c r="BI82" t="s">
        <v>32</v>
      </c>
      <c r="BL82" t="s">
        <v>42</v>
      </c>
      <c r="BN82" t="s">
        <v>55</v>
      </c>
      <c r="BP82" t="s">
        <v>60</v>
      </c>
      <c r="BR82" t="s">
        <v>67</v>
      </c>
    </row>
    <row r="83" spans="2:70" x14ac:dyDescent="0.3">
      <c r="B83" s="731"/>
      <c r="C83" s="543"/>
      <c r="D83" s="696"/>
      <c r="E83" s="697" t="s">
        <v>20</v>
      </c>
      <c r="F83" s="698"/>
      <c r="G83" s="215" t="s">
        <v>7</v>
      </c>
      <c r="H83" s="216" t="s">
        <v>11</v>
      </c>
      <c r="I83" s="213">
        <v>14</v>
      </c>
      <c r="J83" s="217">
        <v>6</v>
      </c>
      <c r="K83" s="152"/>
      <c r="L83" s="153"/>
      <c r="M83" s="117"/>
      <c r="N83" s="154"/>
      <c r="O83" s="155"/>
      <c r="P83" s="153"/>
      <c r="Q83" s="117"/>
      <c r="R83" s="154"/>
      <c r="S83" s="155"/>
      <c r="T83" s="153"/>
      <c r="U83" s="117"/>
      <c r="V83" s="154"/>
      <c r="W83" s="155"/>
      <c r="X83" s="153"/>
      <c r="Y83" s="117"/>
      <c r="Z83" s="154"/>
      <c r="AA83" s="155"/>
      <c r="AB83" s="153"/>
      <c r="AC83" s="117"/>
      <c r="AD83" s="154"/>
      <c r="AE83" s="155"/>
      <c r="AF83" s="153"/>
      <c r="AG83" s="117"/>
      <c r="AH83" s="154"/>
      <c r="AI83" s="155"/>
      <c r="AJ83" s="153"/>
      <c r="AK83" s="117"/>
      <c r="AL83" s="154"/>
      <c r="AM83" s="155"/>
      <c r="AN83" s="153"/>
      <c r="AO83" s="156">
        <f t="shared" ref="AO83" si="23">IF(ISNUMBER(FIND(AM$13,$G83)),$I83,IF(ISNUMBER(FIND(AM$13,$H83)),$J83,""))</f>
        <v>14</v>
      </c>
      <c r="AP83" s="154"/>
      <c r="AQ83" s="155"/>
      <c r="AR83" s="153"/>
      <c r="AS83" s="117"/>
      <c r="AT83" s="154"/>
      <c r="AU83" s="155"/>
      <c r="AV83" s="153"/>
      <c r="AW83" s="117"/>
      <c r="AX83" s="154"/>
      <c r="AY83" s="155"/>
      <c r="AZ83" s="153"/>
      <c r="BA83" s="117"/>
      <c r="BB83" s="154"/>
      <c r="BC83" s="155"/>
      <c r="BD83" s="153"/>
      <c r="BE83" s="156">
        <f t="shared" ref="BE83" si="24">IF(ISNUMBER(FIND(BC$13,$G83)),$I83,IF(ISNUMBER(FIND(BC$13,$H83)),$J83,""))</f>
        <v>6</v>
      </c>
      <c r="BF83" s="154"/>
    </row>
    <row r="84" spans="2:70" x14ac:dyDescent="0.3">
      <c r="B84" s="731"/>
      <c r="C84" s="543"/>
      <c r="D84" s="696"/>
      <c r="E84" s="697" t="s">
        <v>21</v>
      </c>
      <c r="F84" s="698"/>
      <c r="G84" s="215" t="s">
        <v>2</v>
      </c>
      <c r="H84" s="216" t="s">
        <v>4</v>
      </c>
      <c r="I84" s="213">
        <v>14</v>
      </c>
      <c r="J84" s="217">
        <v>4</v>
      </c>
      <c r="K84" s="152"/>
      <c r="L84" s="153"/>
      <c r="M84" s="117"/>
      <c r="N84" s="154"/>
      <c r="O84" s="155"/>
      <c r="P84" s="153"/>
      <c r="Q84" s="117"/>
      <c r="R84" s="154"/>
      <c r="S84" s="155"/>
      <c r="T84" s="153"/>
      <c r="U84" s="156">
        <f>IF(ISNUMBER(FIND(S$13,$G84)),$I84,IF(ISNUMBER(FIND(S$13,$H84)),$J84,""))</f>
        <v>14</v>
      </c>
      <c r="V84" s="154"/>
      <c r="W84" s="155"/>
      <c r="X84" s="153"/>
      <c r="Y84" s="117"/>
      <c r="Z84" s="154"/>
      <c r="AA84" s="155"/>
      <c r="AB84" s="153"/>
      <c r="AC84" s="156">
        <f>IF(ISNUMBER(FIND(AA$13,$G84)),$I84,IF(ISNUMBER(FIND(AA$13,$H84)),$J84,""))</f>
        <v>4</v>
      </c>
      <c r="AD84" s="154"/>
      <c r="AE84" s="155"/>
      <c r="AF84" s="153"/>
      <c r="AG84" s="117"/>
      <c r="AH84" s="154"/>
      <c r="AI84" s="155"/>
      <c r="AJ84" s="153"/>
      <c r="AK84" s="117"/>
      <c r="AL84" s="154"/>
      <c r="AM84" s="155"/>
      <c r="AN84" s="153"/>
      <c r="AO84" s="117"/>
      <c r="AP84" s="154"/>
      <c r="AQ84" s="155"/>
      <c r="AR84" s="153"/>
      <c r="AS84" s="117"/>
      <c r="AT84" s="154"/>
      <c r="AU84" s="155"/>
      <c r="AV84" s="153"/>
      <c r="AW84" s="117"/>
      <c r="AX84" s="154"/>
      <c r="AY84" s="155"/>
      <c r="AZ84" s="153"/>
      <c r="BA84" s="117"/>
      <c r="BB84" s="154"/>
      <c r="BC84" s="155"/>
      <c r="BD84" s="153"/>
      <c r="BE84" s="117"/>
      <c r="BF84" s="154"/>
    </row>
    <row r="85" spans="2:70" x14ac:dyDescent="0.3">
      <c r="B85" s="731"/>
      <c r="C85" s="543"/>
      <c r="D85" s="696"/>
      <c r="E85" s="697" t="s">
        <v>22</v>
      </c>
      <c r="F85" s="698"/>
      <c r="G85" s="215" t="s">
        <v>5</v>
      </c>
      <c r="H85" s="216" t="s">
        <v>11</v>
      </c>
      <c r="I85" s="213">
        <v>14</v>
      </c>
      <c r="J85" s="217">
        <v>2</v>
      </c>
      <c r="K85" s="152"/>
      <c r="L85" s="153"/>
      <c r="M85" s="117"/>
      <c r="N85" s="154"/>
      <c r="O85" s="155"/>
      <c r="P85" s="153"/>
      <c r="Q85" s="117"/>
      <c r="R85" s="154"/>
      <c r="S85" s="155"/>
      <c r="T85" s="153"/>
      <c r="U85" s="117"/>
      <c r="V85" s="154"/>
      <c r="W85" s="155"/>
      <c r="X85" s="153"/>
      <c r="Y85" s="117"/>
      <c r="Z85" s="154"/>
      <c r="AA85" s="155"/>
      <c r="AB85" s="153"/>
      <c r="AC85" s="117"/>
      <c r="AD85" s="154"/>
      <c r="AE85" s="155"/>
      <c r="AF85" s="153"/>
      <c r="AG85" s="156">
        <f>IF(ISNUMBER(FIND(AE$13,$G85)),$I85,IF(ISNUMBER(FIND(AE$13,$H85)),$J85,""))</f>
        <v>14</v>
      </c>
      <c r="AH85" s="154"/>
      <c r="AI85" s="155"/>
      <c r="AJ85" s="153"/>
      <c r="AK85" s="117"/>
      <c r="AL85" s="154"/>
      <c r="AM85" s="155"/>
      <c r="AN85" s="153"/>
      <c r="AO85" s="117"/>
      <c r="AP85" s="154"/>
      <c r="AQ85" s="155"/>
      <c r="AR85" s="153"/>
      <c r="AS85" s="117"/>
      <c r="AT85" s="154"/>
      <c r="AU85" s="155"/>
      <c r="AV85" s="153"/>
      <c r="AW85" s="117"/>
      <c r="AX85" s="154"/>
      <c r="AY85" s="155"/>
      <c r="AZ85" s="153"/>
      <c r="BA85" s="117"/>
      <c r="BB85" s="154"/>
      <c r="BC85" s="155"/>
      <c r="BD85" s="153"/>
      <c r="BE85" s="156">
        <f>IF(ISNUMBER(FIND(BC$13,$G85)),$I85,IF(ISNUMBER(FIND(BC$13,$H85)),$J85,""))</f>
        <v>2</v>
      </c>
      <c r="BF85" s="154"/>
    </row>
    <row r="86" spans="2:70" x14ac:dyDescent="0.3">
      <c r="B86" s="731"/>
      <c r="C86" s="543"/>
      <c r="D86" s="696"/>
      <c r="E86" s="697" t="s">
        <v>23</v>
      </c>
      <c r="F86" s="698"/>
      <c r="G86" s="215" t="s">
        <v>7</v>
      </c>
      <c r="H86" s="216" t="s">
        <v>10</v>
      </c>
      <c r="I86" s="213">
        <v>14</v>
      </c>
      <c r="J86" s="217">
        <v>8</v>
      </c>
      <c r="K86" s="152"/>
      <c r="L86" s="153"/>
      <c r="M86" s="117"/>
      <c r="N86" s="154"/>
      <c r="O86" s="155"/>
      <c r="P86" s="153"/>
      <c r="Q86" s="117"/>
      <c r="R86" s="154"/>
      <c r="S86" s="155"/>
      <c r="T86" s="153"/>
      <c r="U86" s="117"/>
      <c r="V86" s="154"/>
      <c r="W86" s="155"/>
      <c r="X86" s="153"/>
      <c r="Y86" s="117"/>
      <c r="Z86" s="154"/>
      <c r="AA86" s="155"/>
      <c r="AB86" s="153"/>
      <c r="AC86" s="117"/>
      <c r="AD86" s="154"/>
      <c r="AE86" s="155"/>
      <c r="AF86" s="153"/>
      <c r="AG86" s="117"/>
      <c r="AH86" s="154"/>
      <c r="AI86" s="155"/>
      <c r="AJ86" s="153"/>
      <c r="AK86" s="117"/>
      <c r="AL86" s="154"/>
      <c r="AM86" s="155"/>
      <c r="AN86" s="153"/>
      <c r="AO86" s="156">
        <f>IF(ISNUMBER(FIND(AM$13,$G86)),$I86,IF(ISNUMBER(FIND(AM$13,$H86)),$J86,""))</f>
        <v>14</v>
      </c>
      <c r="AP86" s="154"/>
      <c r="AQ86" s="155"/>
      <c r="AR86" s="153"/>
      <c r="AS86" s="117"/>
      <c r="AT86" s="154"/>
      <c r="AU86" s="155"/>
      <c r="AV86" s="153"/>
      <c r="AW86" s="117"/>
      <c r="AX86" s="154"/>
      <c r="AY86" s="155"/>
      <c r="AZ86" s="153"/>
      <c r="BA86" s="156">
        <f>IF(ISNUMBER(FIND(AY$13,$G86)),$I86,IF(ISNUMBER(FIND(AY$13,$H86)),$J86,""))</f>
        <v>8</v>
      </c>
      <c r="BB86" s="154"/>
      <c r="BC86" s="155"/>
      <c r="BD86" s="153"/>
      <c r="BE86" s="117"/>
      <c r="BF86" s="154"/>
    </row>
    <row r="87" spans="2:70" ht="14.5" thickBot="1" x14ac:dyDescent="0.35">
      <c r="B87" s="731"/>
      <c r="C87" s="543"/>
      <c r="D87" s="696"/>
      <c r="E87" s="697" t="s">
        <v>24</v>
      </c>
      <c r="F87" s="698"/>
      <c r="G87" s="218" t="s">
        <v>0</v>
      </c>
      <c r="H87" s="219" t="s">
        <v>1</v>
      </c>
      <c r="I87" s="220">
        <v>5</v>
      </c>
      <c r="J87" s="221">
        <v>14</v>
      </c>
      <c r="K87" s="157"/>
      <c r="L87" s="158"/>
      <c r="M87" s="156">
        <f>IF(ISNUMBER(FIND(K$13,$G87)),$I87,IF(ISNUMBER(FIND(K$13,$H87)),$J87,""))</f>
        <v>5</v>
      </c>
      <c r="N87" s="143"/>
      <c r="O87" s="159"/>
      <c r="P87" s="158"/>
      <c r="Q87" s="156">
        <f>IF(ISNUMBER(FIND(O$13,$G87)),$I87,IF(ISNUMBER(FIND(O$13,$H87)),$J87,""))</f>
        <v>14</v>
      </c>
      <c r="R87" s="143"/>
      <c r="S87" s="159"/>
      <c r="T87" s="158"/>
      <c r="U87" s="123"/>
      <c r="V87" s="143"/>
      <c r="W87" s="159"/>
      <c r="X87" s="158"/>
      <c r="Y87" s="123"/>
      <c r="Z87" s="143"/>
      <c r="AA87" s="159"/>
      <c r="AB87" s="158"/>
      <c r="AC87" s="123"/>
      <c r="AD87" s="143"/>
      <c r="AE87" s="159"/>
      <c r="AF87" s="158"/>
      <c r="AG87" s="123"/>
      <c r="AH87" s="143"/>
      <c r="AI87" s="159"/>
      <c r="AJ87" s="158"/>
      <c r="AK87" s="123"/>
      <c r="AL87" s="143"/>
      <c r="AM87" s="159"/>
      <c r="AN87" s="158"/>
      <c r="AO87" s="123"/>
      <c r="AP87" s="143"/>
      <c r="AQ87" s="159"/>
      <c r="AR87" s="158"/>
      <c r="AS87" s="123"/>
      <c r="AT87" s="143"/>
      <c r="AU87" s="159"/>
      <c r="AV87" s="158"/>
      <c r="AW87" s="123"/>
      <c r="AX87" s="143"/>
      <c r="AY87" s="159"/>
      <c r="AZ87" s="158"/>
      <c r="BA87" s="123"/>
      <c r="BB87" s="143"/>
      <c r="BC87" s="159"/>
      <c r="BD87" s="158"/>
      <c r="BE87" s="123"/>
      <c r="BF87" s="143"/>
    </row>
    <row r="88" spans="2:70" ht="15" customHeight="1" x14ac:dyDescent="0.3">
      <c r="B88" s="731"/>
      <c r="C88" s="543"/>
      <c r="D88" s="746" t="s">
        <v>317</v>
      </c>
      <c r="E88" s="748" t="s">
        <v>17</v>
      </c>
      <c r="F88" s="749"/>
      <c r="G88" s="222" t="s">
        <v>1</v>
      </c>
      <c r="H88" s="223" t="s">
        <v>11</v>
      </c>
      <c r="I88" s="224">
        <v>7</v>
      </c>
      <c r="J88" s="224">
        <v>4</v>
      </c>
      <c r="K88" s="128"/>
      <c r="L88" s="129"/>
      <c r="M88" s="129"/>
      <c r="N88" s="132"/>
      <c r="O88" s="128"/>
      <c r="P88" s="129"/>
      <c r="Q88" s="129"/>
      <c r="R88" s="161">
        <f>IF(ISNUMBER(FIND(O$13,$G88)),$I88,IF(ISNUMBER(FIND(O$13,$H88)),$J88,""))</f>
        <v>7</v>
      </c>
      <c r="S88" s="128"/>
      <c r="T88" s="129"/>
      <c r="U88" s="117"/>
      <c r="V88" s="130"/>
      <c r="W88" s="128"/>
      <c r="X88" s="129"/>
      <c r="Y88" s="117"/>
      <c r="Z88" s="130"/>
      <c r="AA88" s="128"/>
      <c r="AB88" s="129"/>
      <c r="AC88" s="117"/>
      <c r="AD88" s="130"/>
      <c r="AE88" s="128"/>
      <c r="AF88" s="129"/>
      <c r="AG88" s="117"/>
      <c r="AH88" s="154"/>
      <c r="AI88" s="128"/>
      <c r="AJ88" s="129"/>
      <c r="AK88" s="117"/>
      <c r="AL88" s="130"/>
      <c r="AM88" s="128"/>
      <c r="AN88" s="129"/>
      <c r="AO88" s="117"/>
      <c r="AP88" s="130"/>
      <c r="AQ88" s="128"/>
      <c r="AR88" s="129"/>
      <c r="AS88" s="117"/>
      <c r="AT88" s="130"/>
      <c r="AU88" s="128"/>
      <c r="AV88" s="129"/>
      <c r="AW88" s="117"/>
      <c r="AX88" s="130"/>
      <c r="AY88" s="128"/>
      <c r="AZ88" s="129"/>
      <c r="BA88" s="117"/>
      <c r="BB88" s="130"/>
      <c r="BC88" s="128"/>
      <c r="BD88" s="129"/>
      <c r="BE88" s="129"/>
      <c r="BF88" s="455">
        <f t="shared" ref="BF88" si="25">IF(ISNUMBER(FIND(BC$13,$G88)),$I88,IF(ISNUMBER(FIND(BC$13,$H88)),$J88,""))</f>
        <v>4</v>
      </c>
      <c r="BH88">
        <v>9</v>
      </c>
      <c r="BI88" t="s">
        <v>35</v>
      </c>
      <c r="BL88" t="s">
        <v>40</v>
      </c>
      <c r="BN88" t="s">
        <v>50</v>
      </c>
      <c r="BP88" s="8" t="s">
        <v>58</v>
      </c>
      <c r="BR88" t="s">
        <v>65</v>
      </c>
    </row>
    <row r="89" spans="2:70" x14ac:dyDescent="0.3">
      <c r="B89" s="731"/>
      <c r="C89" s="543"/>
      <c r="D89" s="747"/>
      <c r="E89" s="699" t="s">
        <v>18</v>
      </c>
      <c r="F89" s="700"/>
      <c r="G89" s="225" t="s">
        <v>4</v>
      </c>
      <c r="H89" s="226" t="s">
        <v>10</v>
      </c>
      <c r="I89" s="227">
        <v>3</v>
      </c>
      <c r="J89" s="227">
        <v>7</v>
      </c>
      <c r="K89" s="116"/>
      <c r="L89" s="117"/>
      <c r="M89" s="117"/>
      <c r="N89" s="154"/>
      <c r="O89" s="116"/>
      <c r="P89" s="117"/>
      <c r="Q89" s="117"/>
      <c r="R89" s="118"/>
      <c r="S89" s="116"/>
      <c r="T89" s="117"/>
      <c r="U89" s="117"/>
      <c r="V89" s="154"/>
      <c r="W89" s="116"/>
      <c r="X89" s="117"/>
      <c r="Y89" s="117"/>
      <c r="Z89" s="154"/>
      <c r="AA89" s="116"/>
      <c r="AB89" s="117"/>
      <c r="AC89" s="117"/>
      <c r="AD89" s="161">
        <f t="shared" ref="AD89:AD95" si="26">IF(ISNUMBER(FIND(AA$13,$G89)),$I89,IF(ISNUMBER(FIND(AA$13,$H89)),$J89,""))</f>
        <v>3</v>
      </c>
      <c r="AE89" s="116"/>
      <c r="AF89" s="117"/>
      <c r="AG89" s="117"/>
      <c r="AH89" s="154"/>
      <c r="AI89" s="116"/>
      <c r="AJ89" s="117"/>
      <c r="AK89" s="117"/>
      <c r="AL89" s="154"/>
      <c r="AM89" s="116"/>
      <c r="AN89" s="117"/>
      <c r="AO89" s="117"/>
      <c r="AP89" s="154"/>
      <c r="AQ89" s="116"/>
      <c r="AR89" s="117"/>
      <c r="AS89" s="117"/>
      <c r="AT89" s="154"/>
      <c r="AU89" s="116"/>
      <c r="AV89" s="117"/>
      <c r="AW89" s="117"/>
      <c r="AX89" s="154"/>
      <c r="AY89" s="116"/>
      <c r="AZ89" s="117"/>
      <c r="BA89" s="117"/>
      <c r="BB89" s="161">
        <f t="shared" ref="BB89:BB92" si="27">IF(ISNUMBER(FIND(AY$13,$G89)),$I89,IF(ISNUMBER(FIND(AY$13,$H89)),$J89,""))</f>
        <v>7</v>
      </c>
      <c r="BC89" s="116"/>
      <c r="BD89" s="117"/>
      <c r="BE89" s="117"/>
      <c r="BF89" s="154"/>
      <c r="BH89">
        <v>4</v>
      </c>
      <c r="BI89" t="s">
        <v>30</v>
      </c>
      <c r="BL89" t="s">
        <v>41</v>
      </c>
      <c r="BN89" t="s">
        <v>51</v>
      </c>
      <c r="BP89" t="s">
        <v>59</v>
      </c>
      <c r="BR89" t="s">
        <v>66</v>
      </c>
    </row>
    <row r="90" spans="2:70" x14ac:dyDescent="0.3">
      <c r="B90" s="731"/>
      <c r="C90" s="543"/>
      <c r="D90" s="747"/>
      <c r="E90" s="699" t="s">
        <v>19</v>
      </c>
      <c r="F90" s="700"/>
      <c r="G90" s="225" t="s">
        <v>2</v>
      </c>
      <c r="H90" s="226" t="s">
        <v>11</v>
      </c>
      <c r="I90" s="227">
        <v>7</v>
      </c>
      <c r="J90" s="227">
        <v>3</v>
      </c>
      <c r="K90" s="116"/>
      <c r="L90" s="117"/>
      <c r="M90" s="117"/>
      <c r="N90" s="154"/>
      <c r="O90" s="116"/>
      <c r="P90" s="117"/>
      <c r="Q90" s="117"/>
      <c r="R90" s="118"/>
      <c r="S90" s="116"/>
      <c r="T90" s="117"/>
      <c r="U90" s="117"/>
      <c r="V90" s="161">
        <f t="shared" ref="V90:V94" si="28">IF(ISNUMBER(FIND(S$13,$G90)),$I90,IF(ISNUMBER(FIND(S$13,$H90)),$J90,""))</f>
        <v>7</v>
      </c>
      <c r="W90" s="116"/>
      <c r="X90" s="117"/>
      <c r="Y90" s="117"/>
      <c r="Z90" s="154"/>
      <c r="AA90" s="116"/>
      <c r="AB90" s="117"/>
      <c r="AC90" s="117"/>
      <c r="AD90" s="154"/>
      <c r="AE90" s="116"/>
      <c r="AF90" s="117"/>
      <c r="AG90" s="117"/>
      <c r="AH90" s="154"/>
      <c r="AI90" s="116"/>
      <c r="AJ90" s="117"/>
      <c r="AK90" s="117"/>
      <c r="AL90" s="154"/>
      <c r="AM90" s="116"/>
      <c r="AN90" s="117"/>
      <c r="AO90" s="117"/>
      <c r="AP90" s="154"/>
      <c r="AQ90" s="116"/>
      <c r="AR90" s="117"/>
      <c r="AS90" s="117"/>
      <c r="AT90" s="154"/>
      <c r="AU90" s="116"/>
      <c r="AV90" s="117"/>
      <c r="AW90" s="117"/>
      <c r="AX90" s="154"/>
      <c r="AY90" s="116"/>
      <c r="AZ90" s="117"/>
      <c r="BA90" s="117"/>
      <c r="BB90" s="154"/>
      <c r="BC90" s="116"/>
      <c r="BD90" s="117"/>
      <c r="BE90" s="117"/>
      <c r="BF90" s="455">
        <f t="shared" ref="BF90" si="29">IF(ISNUMBER(FIND(BC$13,$G90)),$I90,IF(ISNUMBER(FIND(BC$13,$H90)),$J90,""))</f>
        <v>3</v>
      </c>
      <c r="BH90">
        <f>BH88*BH89</f>
        <v>36</v>
      </c>
      <c r="BI90" t="s">
        <v>32</v>
      </c>
      <c r="BL90" t="s">
        <v>42</v>
      </c>
      <c r="BN90" t="s">
        <v>55</v>
      </c>
      <c r="BP90" t="s">
        <v>60</v>
      </c>
      <c r="BR90" t="s">
        <v>67</v>
      </c>
    </row>
    <row r="91" spans="2:70" x14ac:dyDescent="0.3">
      <c r="B91" s="731"/>
      <c r="C91" s="543"/>
      <c r="D91" s="747"/>
      <c r="E91" s="699" t="s">
        <v>20</v>
      </c>
      <c r="F91" s="700"/>
      <c r="G91" s="225" t="s">
        <v>6</v>
      </c>
      <c r="H91" s="226" t="s">
        <v>8</v>
      </c>
      <c r="I91" s="227">
        <v>7</v>
      </c>
      <c r="J91" s="227">
        <v>3</v>
      </c>
      <c r="K91" s="116"/>
      <c r="L91" s="117"/>
      <c r="M91" s="117"/>
      <c r="N91" s="154"/>
      <c r="O91" s="116"/>
      <c r="P91" s="117"/>
      <c r="Q91" s="117"/>
      <c r="R91" s="118"/>
      <c r="S91" s="116"/>
      <c r="T91" s="117"/>
      <c r="U91" s="117"/>
      <c r="V91" s="154"/>
      <c r="W91" s="116"/>
      <c r="X91" s="117"/>
      <c r="Y91" s="117"/>
      <c r="Z91" s="154"/>
      <c r="AA91" s="116"/>
      <c r="AB91" s="117"/>
      <c r="AC91" s="117"/>
      <c r="AD91" s="154"/>
      <c r="AE91" s="116"/>
      <c r="AF91" s="117"/>
      <c r="AG91" s="117"/>
      <c r="AH91" s="154"/>
      <c r="AI91" s="116"/>
      <c r="AJ91" s="117"/>
      <c r="AK91" s="117"/>
      <c r="AL91" s="161">
        <f t="shared" ref="AL91" si="30">IF(ISNUMBER(FIND(AI$13,$G91)),$I91,IF(ISNUMBER(FIND(AI$13,$H91)),$J91,""))</f>
        <v>7</v>
      </c>
      <c r="AM91" s="116"/>
      <c r="AN91" s="117"/>
      <c r="AO91" s="117"/>
      <c r="AP91" s="154"/>
      <c r="AQ91" s="116"/>
      <c r="AR91" s="117"/>
      <c r="AS91" s="117"/>
      <c r="AT91" s="161">
        <f t="shared" ref="AT91" si="31">IF(ISNUMBER(FIND(AQ$13,$G91)),$I91,IF(ISNUMBER(FIND(AQ$13,$H91)),$J91,""))</f>
        <v>3</v>
      </c>
      <c r="AU91" s="116"/>
      <c r="AV91" s="117"/>
      <c r="AW91" s="117"/>
      <c r="AX91" s="154"/>
      <c r="AY91" s="116"/>
      <c r="AZ91" s="117"/>
      <c r="BA91" s="117"/>
      <c r="BB91" s="154"/>
      <c r="BC91" s="116"/>
      <c r="BD91" s="117"/>
      <c r="BE91" s="117"/>
      <c r="BF91" s="154"/>
    </row>
    <row r="92" spans="2:70" x14ac:dyDescent="0.3">
      <c r="B92" s="731"/>
      <c r="C92" s="543"/>
      <c r="D92" s="747"/>
      <c r="E92" s="699" t="s">
        <v>21</v>
      </c>
      <c r="F92" s="700"/>
      <c r="G92" s="225" t="s">
        <v>0</v>
      </c>
      <c r="H92" s="226" t="s">
        <v>10</v>
      </c>
      <c r="I92" s="227">
        <v>7</v>
      </c>
      <c r="J92" s="227">
        <v>5</v>
      </c>
      <c r="K92" s="116"/>
      <c r="L92" s="117"/>
      <c r="M92" s="117"/>
      <c r="N92" s="161">
        <f t="shared" ref="N92" si="32">IF(ISNUMBER(FIND(K$13,$G92)),$I92,IF(ISNUMBER(FIND(K$13,$H92)),$J92,""))</f>
        <v>7</v>
      </c>
      <c r="O92" s="116"/>
      <c r="P92" s="117"/>
      <c r="Q92" s="117"/>
      <c r="R92" s="118"/>
      <c r="S92" s="116"/>
      <c r="T92" s="117"/>
      <c r="U92" s="117"/>
      <c r="V92" s="154"/>
      <c r="W92" s="116"/>
      <c r="X92" s="117"/>
      <c r="Y92" s="117"/>
      <c r="Z92" s="154"/>
      <c r="AA92" s="116"/>
      <c r="AB92" s="117"/>
      <c r="AC92" s="117"/>
      <c r="AD92" s="154"/>
      <c r="AE92" s="116"/>
      <c r="AF92" s="117"/>
      <c r="AG92" s="117"/>
      <c r="AH92" s="154"/>
      <c r="AI92" s="116"/>
      <c r="AJ92" s="117"/>
      <c r="AK92" s="117"/>
      <c r="AL92" s="154"/>
      <c r="AM92" s="116"/>
      <c r="AN92" s="117"/>
      <c r="AO92" s="117"/>
      <c r="AP92" s="154"/>
      <c r="AQ92" s="116"/>
      <c r="AR92" s="117"/>
      <c r="AS92" s="117"/>
      <c r="AT92" s="154"/>
      <c r="AU92" s="116"/>
      <c r="AV92" s="117"/>
      <c r="AW92" s="117"/>
      <c r="AX92" s="154"/>
      <c r="AY92" s="116"/>
      <c r="AZ92" s="117"/>
      <c r="BA92" s="117"/>
      <c r="BB92" s="161">
        <f t="shared" si="27"/>
        <v>5</v>
      </c>
      <c r="BC92" s="116"/>
      <c r="BD92" s="117"/>
      <c r="BE92" s="117"/>
      <c r="BF92" s="154"/>
    </row>
    <row r="93" spans="2:70" x14ac:dyDescent="0.3">
      <c r="B93" s="731"/>
      <c r="C93" s="543"/>
      <c r="D93" s="747"/>
      <c r="E93" s="699" t="s">
        <v>22</v>
      </c>
      <c r="F93" s="700"/>
      <c r="G93" s="225" t="s">
        <v>1</v>
      </c>
      <c r="H93" s="226" t="s">
        <v>7</v>
      </c>
      <c r="I93" s="227">
        <v>1</v>
      </c>
      <c r="J93" s="227">
        <v>7</v>
      </c>
      <c r="K93" s="116"/>
      <c r="L93" s="117"/>
      <c r="M93" s="117"/>
      <c r="N93" s="154"/>
      <c r="O93" s="116"/>
      <c r="P93" s="117"/>
      <c r="Q93" s="117"/>
      <c r="R93" s="161">
        <f t="shared" ref="R93" si="33">IF(ISNUMBER(FIND(O$13,$G93)),$I93,IF(ISNUMBER(FIND(O$13,$H93)),$J93,""))</f>
        <v>1</v>
      </c>
      <c r="S93" s="116"/>
      <c r="T93" s="117"/>
      <c r="U93" s="117"/>
      <c r="V93" s="154"/>
      <c r="W93" s="116"/>
      <c r="X93" s="117"/>
      <c r="Y93" s="117"/>
      <c r="Z93" s="154"/>
      <c r="AA93" s="116"/>
      <c r="AB93" s="117"/>
      <c r="AC93" s="117"/>
      <c r="AD93" s="154"/>
      <c r="AE93" s="116"/>
      <c r="AF93" s="117"/>
      <c r="AG93" s="117"/>
      <c r="AH93" s="154"/>
      <c r="AI93" s="116"/>
      <c r="AJ93" s="117"/>
      <c r="AK93" s="117"/>
      <c r="AL93" s="154"/>
      <c r="AM93" s="116"/>
      <c r="AN93" s="117"/>
      <c r="AO93" s="117"/>
      <c r="AP93" s="161">
        <f t="shared" ref="AP93:AP95" si="34">IF(ISNUMBER(FIND(AM$13,$G93)),$I93,IF(ISNUMBER(FIND(AM$13,$H93)),$J93,""))</f>
        <v>7</v>
      </c>
      <c r="AQ93" s="116"/>
      <c r="AR93" s="117"/>
      <c r="AS93" s="117"/>
      <c r="AT93" s="154"/>
      <c r="AU93" s="116"/>
      <c r="AV93" s="117"/>
      <c r="AW93" s="117"/>
      <c r="AX93" s="154"/>
      <c r="AY93" s="116"/>
      <c r="AZ93" s="117"/>
      <c r="BA93" s="117"/>
      <c r="BB93" s="154"/>
      <c r="BC93" s="116"/>
      <c r="BD93" s="117"/>
      <c r="BE93" s="117"/>
      <c r="BF93" s="154"/>
    </row>
    <row r="94" spans="2:70" x14ac:dyDescent="0.3">
      <c r="B94" s="731"/>
      <c r="C94" s="543"/>
      <c r="D94" s="747"/>
      <c r="E94" s="699" t="s">
        <v>23</v>
      </c>
      <c r="F94" s="700"/>
      <c r="G94" s="225" t="s">
        <v>2</v>
      </c>
      <c r="H94" s="226" t="s">
        <v>9</v>
      </c>
      <c r="I94" s="227">
        <v>4</v>
      </c>
      <c r="J94" s="227">
        <v>7</v>
      </c>
      <c r="K94" s="116"/>
      <c r="L94" s="117"/>
      <c r="M94" s="117"/>
      <c r="N94" s="154"/>
      <c r="O94" s="116"/>
      <c r="P94" s="117"/>
      <c r="Q94" s="117"/>
      <c r="R94" s="118"/>
      <c r="S94" s="116"/>
      <c r="T94" s="117"/>
      <c r="U94" s="117"/>
      <c r="V94" s="161">
        <f t="shared" si="28"/>
        <v>4</v>
      </c>
      <c r="W94" s="116"/>
      <c r="X94" s="117"/>
      <c r="Y94" s="117"/>
      <c r="Z94" s="154"/>
      <c r="AA94" s="116"/>
      <c r="AB94" s="117"/>
      <c r="AC94" s="117"/>
      <c r="AD94" s="154"/>
      <c r="AE94" s="116"/>
      <c r="AF94" s="117"/>
      <c r="AG94" s="117"/>
      <c r="AH94" s="154"/>
      <c r="AI94" s="116"/>
      <c r="AJ94" s="117"/>
      <c r="AK94" s="117"/>
      <c r="AL94" s="154"/>
      <c r="AM94" s="116"/>
      <c r="AN94" s="117"/>
      <c r="AO94" s="117"/>
      <c r="AP94" s="154"/>
      <c r="AQ94" s="116"/>
      <c r="AR94" s="117"/>
      <c r="AS94" s="117"/>
      <c r="AT94" s="154"/>
      <c r="AU94" s="116"/>
      <c r="AV94" s="117"/>
      <c r="AW94" s="117"/>
      <c r="AX94" s="161">
        <f t="shared" ref="AX94" si="35">IF(ISNUMBER(FIND(AU$13,$G94)),$I94,IF(ISNUMBER(FIND(AU$13,$H94)),$J94,""))</f>
        <v>7</v>
      </c>
      <c r="AY94" s="116"/>
      <c r="AZ94" s="117"/>
      <c r="BA94" s="117"/>
      <c r="BB94" s="154"/>
      <c r="BC94" s="116"/>
      <c r="BD94" s="117"/>
      <c r="BE94" s="117"/>
      <c r="BF94" s="154"/>
    </row>
    <row r="95" spans="2:70" ht="14.5" thickBot="1" x14ac:dyDescent="0.35">
      <c r="B95" s="731"/>
      <c r="C95" s="543"/>
      <c r="D95" s="747"/>
      <c r="E95" s="699" t="s">
        <v>24</v>
      </c>
      <c r="F95" s="700"/>
      <c r="G95" s="228" t="s">
        <v>4</v>
      </c>
      <c r="H95" s="229" t="s">
        <v>7</v>
      </c>
      <c r="I95" s="230">
        <v>6</v>
      </c>
      <c r="J95" s="227">
        <v>7</v>
      </c>
      <c r="K95" s="122"/>
      <c r="L95" s="123"/>
      <c r="M95" s="123"/>
      <c r="N95" s="143"/>
      <c r="O95" s="122"/>
      <c r="P95" s="123"/>
      <c r="Q95" s="123"/>
      <c r="R95" s="124"/>
      <c r="S95" s="122"/>
      <c r="T95" s="123"/>
      <c r="U95" s="123"/>
      <c r="V95" s="143"/>
      <c r="W95" s="122"/>
      <c r="X95" s="123"/>
      <c r="Y95" s="123"/>
      <c r="Z95" s="143"/>
      <c r="AA95" s="122"/>
      <c r="AB95" s="123"/>
      <c r="AC95" s="123"/>
      <c r="AD95" s="161">
        <f t="shared" si="26"/>
        <v>6</v>
      </c>
      <c r="AE95" s="122"/>
      <c r="AF95" s="123"/>
      <c r="AG95" s="123"/>
      <c r="AH95" s="143"/>
      <c r="AI95" s="122"/>
      <c r="AJ95" s="123"/>
      <c r="AK95" s="123"/>
      <c r="AL95" s="143"/>
      <c r="AM95" s="122"/>
      <c r="AN95" s="123"/>
      <c r="AO95" s="123"/>
      <c r="AP95" s="161">
        <f t="shared" si="34"/>
        <v>7</v>
      </c>
      <c r="AQ95" s="122"/>
      <c r="AR95" s="123"/>
      <c r="AS95" s="123"/>
      <c r="AT95" s="143"/>
      <c r="AU95" s="122"/>
      <c r="AV95" s="123"/>
      <c r="AW95" s="123"/>
      <c r="AX95" s="143"/>
      <c r="AY95" s="122"/>
      <c r="AZ95" s="123"/>
      <c r="BA95" s="123"/>
      <c r="BB95" s="143"/>
      <c r="BC95" s="122"/>
      <c r="BD95" s="123"/>
      <c r="BE95" s="123"/>
      <c r="BF95" s="143"/>
    </row>
    <row r="96" spans="2:70" ht="15" customHeight="1" thickBot="1" x14ac:dyDescent="0.35">
      <c r="B96" s="731"/>
      <c r="C96" s="542" t="s">
        <v>26</v>
      </c>
      <c r="D96" s="733" t="s">
        <v>16</v>
      </c>
      <c r="E96" s="707" t="s">
        <v>17</v>
      </c>
      <c r="F96" s="708"/>
      <c r="G96" s="190" t="s">
        <v>252</v>
      </c>
      <c r="H96" s="191" t="s">
        <v>279</v>
      </c>
      <c r="I96" s="192">
        <v>0</v>
      </c>
      <c r="J96" s="193">
        <v>5</v>
      </c>
      <c r="K96" s="119">
        <f>IF(ISNUMBER(FIND(K$13,$G96)),$I96,IF(ISNUMBER(FIND(K$13,$H96)),$J96,""))</f>
        <v>0</v>
      </c>
      <c r="L96" s="117"/>
      <c r="M96" s="117"/>
      <c r="N96" s="118"/>
      <c r="O96" s="117"/>
      <c r="P96" s="117"/>
      <c r="Q96" s="117"/>
      <c r="R96" s="118"/>
      <c r="S96" s="119">
        <f>IF(ISNUMBER(FIND(S$13,$G96)),$I96,IF(ISNUMBER(FIND(S$13,$H96)),$J96,""))</f>
        <v>5</v>
      </c>
      <c r="T96" s="117"/>
      <c r="U96" s="117"/>
      <c r="V96" s="118"/>
      <c r="W96" s="117"/>
      <c r="X96" s="117"/>
      <c r="Y96" s="117"/>
      <c r="Z96" s="118"/>
      <c r="AA96" s="117"/>
      <c r="AB96" s="117"/>
      <c r="AC96" s="117"/>
      <c r="AD96" s="118"/>
      <c r="AE96" s="119">
        <f t="shared" ref="AE96:AE102" si="36">IF(ISNUMBER(FIND(AE$13,$G96)),$I96,IF(ISNUMBER(FIND(AE$13,$H96)),$J96,""))</f>
        <v>5</v>
      </c>
      <c r="AF96" s="117"/>
      <c r="AG96" s="117"/>
      <c r="AH96" s="118"/>
      <c r="AI96" s="117"/>
      <c r="AJ96" s="117"/>
      <c r="AK96" s="117"/>
      <c r="AL96" s="118"/>
      <c r="AM96" s="117"/>
      <c r="AN96" s="117"/>
      <c r="AO96" s="117"/>
      <c r="AP96" s="118"/>
      <c r="AQ96" s="119">
        <f>IF(ISNUMBER(FIND(AQ$13,$G96)),$I96,IF(ISNUMBER(FIND(AQ$13,$H96)),$J96,""))</f>
        <v>0</v>
      </c>
      <c r="AR96" s="117"/>
      <c r="AS96" s="117"/>
      <c r="AT96" s="118"/>
      <c r="AU96" s="117"/>
      <c r="AV96" s="117"/>
      <c r="AW96" s="117"/>
      <c r="AX96" s="118"/>
      <c r="AY96" s="117"/>
      <c r="AZ96" s="117"/>
      <c r="BA96" s="117"/>
      <c r="BB96" s="118"/>
      <c r="BC96" s="117"/>
      <c r="BD96" s="117"/>
      <c r="BE96" s="117"/>
      <c r="BF96" s="118"/>
      <c r="BH96">
        <v>9</v>
      </c>
      <c r="BI96" t="s">
        <v>31</v>
      </c>
      <c r="BL96" t="s">
        <v>37</v>
      </c>
      <c r="BN96" t="s">
        <v>49</v>
      </c>
      <c r="BP96" s="8" t="s">
        <v>64</v>
      </c>
      <c r="BR96" t="s">
        <v>50</v>
      </c>
    </row>
    <row r="97" spans="2:70" ht="14.5" thickBot="1" x14ac:dyDescent="0.35">
      <c r="B97" s="731"/>
      <c r="C97" s="543"/>
      <c r="D97" s="734"/>
      <c r="E97" s="701" t="s">
        <v>18</v>
      </c>
      <c r="F97" s="702"/>
      <c r="G97" s="194" t="s">
        <v>248</v>
      </c>
      <c r="H97" s="195" t="s">
        <v>279</v>
      </c>
      <c r="I97" s="196">
        <v>5</v>
      </c>
      <c r="J97" s="197">
        <v>4</v>
      </c>
      <c r="K97" s="117"/>
      <c r="L97" s="117"/>
      <c r="M97" s="117"/>
      <c r="N97" s="118"/>
      <c r="O97" s="119">
        <f t="shared" ref="O97:O103" si="37">IF(ISNUMBER(FIND(O$13,$G97)),$I97,IF(ISNUMBER(FIND(O$13,$H97)),$J97,""))</f>
        <v>5</v>
      </c>
      <c r="P97" s="117"/>
      <c r="Q97" s="117"/>
      <c r="R97" s="118"/>
      <c r="S97" s="119">
        <f t="shared" ref="S97:S101" si="38">IF(ISNUMBER(FIND(S$13,$G97)),$I97,IF(ISNUMBER(FIND(S$13,$H97)),$J97,""))</f>
        <v>4</v>
      </c>
      <c r="T97" s="117"/>
      <c r="U97" s="117"/>
      <c r="V97" s="118"/>
      <c r="W97" s="117"/>
      <c r="X97" s="117"/>
      <c r="Y97" s="117"/>
      <c r="Z97" s="118"/>
      <c r="AA97" s="117"/>
      <c r="AB97" s="117"/>
      <c r="AC97" s="117"/>
      <c r="AD97" s="118"/>
      <c r="AE97" s="119">
        <f t="shared" si="36"/>
        <v>4</v>
      </c>
      <c r="AF97" s="117"/>
      <c r="AG97" s="117"/>
      <c r="AH97" s="118"/>
      <c r="AI97" s="117"/>
      <c r="AJ97" s="117"/>
      <c r="AK97" s="117"/>
      <c r="AL97" s="118"/>
      <c r="AM97" s="119">
        <f t="shared" ref="AM97:AM100" si="39">IF(ISNUMBER(FIND(AM$13,$G97)),$I97,IF(ISNUMBER(FIND(AM$13,$H97)),$J97,""))</f>
        <v>5</v>
      </c>
      <c r="AN97" s="117"/>
      <c r="AO97" s="117"/>
      <c r="AP97" s="118"/>
      <c r="AQ97" s="117"/>
      <c r="AR97" s="117"/>
      <c r="AS97" s="117"/>
      <c r="AT97" s="118"/>
      <c r="AU97" s="117"/>
      <c r="AV97" s="117"/>
      <c r="AW97" s="117"/>
      <c r="AX97" s="118"/>
      <c r="AY97" s="117"/>
      <c r="AZ97" s="117"/>
      <c r="BA97" s="117"/>
      <c r="BB97" s="118"/>
      <c r="BC97" s="117"/>
      <c r="BD97" s="117"/>
      <c r="BE97" s="117"/>
      <c r="BF97" s="118"/>
      <c r="BH97">
        <v>8</v>
      </c>
      <c r="BI97" t="s">
        <v>30</v>
      </c>
      <c r="BL97" t="s">
        <v>38</v>
      </c>
      <c r="BN97" t="s">
        <v>41</v>
      </c>
      <c r="BP97" t="s">
        <v>56</v>
      </c>
      <c r="BR97" t="s">
        <v>68</v>
      </c>
    </row>
    <row r="98" spans="2:70" ht="14.5" thickBot="1" x14ac:dyDescent="0.35">
      <c r="B98" s="731"/>
      <c r="C98" s="543"/>
      <c r="D98" s="734"/>
      <c r="E98" s="701" t="s">
        <v>19</v>
      </c>
      <c r="F98" s="702"/>
      <c r="G98" s="194" t="s">
        <v>247</v>
      </c>
      <c r="H98" s="195" t="s">
        <v>280</v>
      </c>
      <c r="I98" s="196">
        <v>3</v>
      </c>
      <c r="J98" s="197">
        <v>5</v>
      </c>
      <c r="K98" s="117"/>
      <c r="L98" s="117"/>
      <c r="M98" s="117"/>
      <c r="N98" s="118"/>
      <c r="O98" s="119">
        <f t="shared" si="37"/>
        <v>5</v>
      </c>
      <c r="P98" s="117"/>
      <c r="Q98" s="117"/>
      <c r="R98" s="118"/>
      <c r="S98" s="119">
        <f t="shared" si="38"/>
        <v>3</v>
      </c>
      <c r="T98" s="117"/>
      <c r="U98" s="117"/>
      <c r="V98" s="118"/>
      <c r="W98" s="117"/>
      <c r="X98" s="117"/>
      <c r="Y98" s="117"/>
      <c r="Z98" s="118"/>
      <c r="AA98" s="119">
        <f t="shared" ref="AA98:AA100" si="40">IF(ISNUMBER(FIND(AA$13,$G98)),$I98,IF(ISNUMBER(FIND(AA$13,$H98)),$J98,""))</f>
        <v>3</v>
      </c>
      <c r="AB98" s="117"/>
      <c r="AC98" s="117"/>
      <c r="AD98" s="118"/>
      <c r="AE98" s="117"/>
      <c r="AF98" s="117"/>
      <c r="AG98" s="117"/>
      <c r="AH98" s="118"/>
      <c r="AI98" s="117"/>
      <c r="AJ98" s="117"/>
      <c r="AK98" s="117"/>
      <c r="AL98" s="118"/>
      <c r="AM98" s="117"/>
      <c r="AN98" s="117"/>
      <c r="AO98" s="117"/>
      <c r="AP98" s="118"/>
      <c r="AQ98" s="117"/>
      <c r="AR98" s="117"/>
      <c r="AS98" s="117"/>
      <c r="AT98" s="118"/>
      <c r="AU98" s="117"/>
      <c r="AV98" s="117"/>
      <c r="AW98" s="117"/>
      <c r="AX98" s="118"/>
      <c r="AY98" s="119">
        <f t="shared" ref="AY98:AY103" si="41">IF(ISNUMBER(FIND(AY$13,$G98)),$I98,IF(ISNUMBER(FIND(AY$13,$H98)),$J98,""))</f>
        <v>5</v>
      </c>
      <c r="AZ98" s="117"/>
      <c r="BA98" s="117"/>
      <c r="BB98" s="118"/>
      <c r="BC98" s="117"/>
      <c r="BD98" s="117"/>
      <c r="BE98" s="117"/>
      <c r="BF98" s="118"/>
      <c r="BH98">
        <f>BH96*BH97</f>
        <v>72</v>
      </c>
      <c r="BI98" t="s">
        <v>32</v>
      </c>
      <c r="BL98" t="s">
        <v>39</v>
      </c>
      <c r="BN98" t="s">
        <v>42</v>
      </c>
      <c r="BP98" t="s">
        <v>57</v>
      </c>
      <c r="BR98" t="s">
        <v>69</v>
      </c>
    </row>
    <row r="99" spans="2:70" ht="14.5" thickBot="1" x14ac:dyDescent="0.35">
      <c r="B99" s="731"/>
      <c r="C99" s="543"/>
      <c r="D99" s="734"/>
      <c r="E99" s="701" t="s">
        <v>20</v>
      </c>
      <c r="F99" s="702"/>
      <c r="G99" s="194" t="s">
        <v>253</v>
      </c>
      <c r="H99" s="195" t="s">
        <v>270</v>
      </c>
      <c r="I99" s="196">
        <v>3</v>
      </c>
      <c r="J99" s="197">
        <v>5</v>
      </c>
      <c r="K99" s="119">
        <f t="shared" ref="K99:K101" si="42">IF(ISNUMBER(FIND(K$13,$G99)),$I99,IF(ISNUMBER(FIND(K$13,$H99)),$J99,""))</f>
        <v>3</v>
      </c>
      <c r="L99" s="117"/>
      <c r="M99" s="117"/>
      <c r="N99" s="118"/>
      <c r="O99" s="117"/>
      <c r="P99" s="117"/>
      <c r="Q99" s="117"/>
      <c r="R99" s="118"/>
      <c r="S99" s="117"/>
      <c r="T99" s="117"/>
      <c r="U99" s="117"/>
      <c r="V99" s="118"/>
      <c r="W99" s="119">
        <f t="shared" ref="W99:W103" si="43">IF(ISNUMBER(FIND(W$13,$G99)),$I99,IF(ISNUMBER(FIND(W$13,$H99)),$J99,""))</f>
        <v>5</v>
      </c>
      <c r="X99" s="117"/>
      <c r="Y99" s="117"/>
      <c r="Z99" s="118"/>
      <c r="AA99" s="117"/>
      <c r="AB99" s="117"/>
      <c r="AC99" s="117"/>
      <c r="AD99" s="118"/>
      <c r="AE99" s="117"/>
      <c r="AF99" s="117"/>
      <c r="AG99" s="117"/>
      <c r="AH99" s="118"/>
      <c r="AI99" s="119">
        <f t="shared" ref="AI99:AI101" si="44">IF(ISNUMBER(FIND(AI$13,$G99)),$I99,IF(ISNUMBER(FIND(AI$13,$H99)),$J99,""))</f>
        <v>5</v>
      </c>
      <c r="AJ99" s="117"/>
      <c r="AK99" s="117"/>
      <c r="AL99" s="118"/>
      <c r="AM99" s="119">
        <f t="shared" si="39"/>
        <v>3</v>
      </c>
      <c r="AN99" s="117"/>
      <c r="AO99" s="117"/>
      <c r="AP99" s="118"/>
      <c r="AQ99" s="117"/>
      <c r="AR99" s="117"/>
      <c r="AS99" s="117"/>
      <c r="AT99" s="118"/>
      <c r="AU99" s="117"/>
      <c r="AV99" s="117"/>
      <c r="AW99" s="117"/>
      <c r="AX99" s="118"/>
      <c r="AY99" s="117"/>
      <c r="AZ99" s="117"/>
      <c r="BA99" s="117"/>
      <c r="BB99" s="118"/>
      <c r="BC99" s="117"/>
      <c r="BD99" s="117"/>
      <c r="BE99" s="117"/>
      <c r="BF99" s="118"/>
      <c r="BH99">
        <f>BH97/14.5</f>
        <v>0.55172413793103448</v>
      </c>
      <c r="BI99" t="s">
        <v>36</v>
      </c>
    </row>
    <row r="100" spans="2:70" ht="14.5" thickBot="1" x14ac:dyDescent="0.35">
      <c r="B100" s="731"/>
      <c r="C100" s="543"/>
      <c r="D100" s="734"/>
      <c r="E100" s="701" t="s">
        <v>21</v>
      </c>
      <c r="F100" s="702"/>
      <c r="G100" s="194" t="s">
        <v>251</v>
      </c>
      <c r="H100" s="195" t="s">
        <v>281</v>
      </c>
      <c r="I100" s="196">
        <v>5</v>
      </c>
      <c r="J100" s="197">
        <v>2</v>
      </c>
      <c r="K100" s="117"/>
      <c r="L100" s="117"/>
      <c r="M100" s="117"/>
      <c r="N100" s="118"/>
      <c r="O100" s="119">
        <f t="shared" si="37"/>
        <v>5</v>
      </c>
      <c r="P100" s="117"/>
      <c r="Q100" s="117"/>
      <c r="R100" s="118"/>
      <c r="S100" s="117"/>
      <c r="T100" s="117"/>
      <c r="U100" s="117"/>
      <c r="V100" s="118"/>
      <c r="W100" s="117"/>
      <c r="X100" s="117"/>
      <c r="Y100" s="117"/>
      <c r="Z100" s="118"/>
      <c r="AA100" s="119">
        <f t="shared" si="40"/>
        <v>5</v>
      </c>
      <c r="AB100" s="117"/>
      <c r="AC100" s="117"/>
      <c r="AD100" s="118"/>
      <c r="AE100" s="117"/>
      <c r="AF100" s="117"/>
      <c r="AG100" s="117"/>
      <c r="AH100" s="118"/>
      <c r="AI100" s="117"/>
      <c r="AJ100" s="117"/>
      <c r="AK100" s="117"/>
      <c r="AL100" s="118"/>
      <c r="AM100" s="119">
        <f t="shared" si="39"/>
        <v>2</v>
      </c>
      <c r="AN100" s="117"/>
      <c r="AO100" s="117"/>
      <c r="AP100" s="118"/>
      <c r="AQ100" s="117"/>
      <c r="AR100" s="117"/>
      <c r="AS100" s="117"/>
      <c r="AT100" s="118"/>
      <c r="AU100" s="117"/>
      <c r="AV100" s="117"/>
      <c r="AW100" s="117"/>
      <c r="AX100" s="118"/>
      <c r="AY100" s="117"/>
      <c r="AZ100" s="117"/>
      <c r="BA100" s="117"/>
      <c r="BB100" s="118"/>
      <c r="BC100" s="119">
        <f t="shared" ref="BC100:BC102" si="45">IF(ISNUMBER(FIND(BC$13,$G100)),$I100,IF(ISNUMBER(FIND(BC$13,$H100)),$J100,""))</f>
        <v>2</v>
      </c>
      <c r="BD100" s="117"/>
      <c r="BE100" s="117"/>
      <c r="BF100" s="118"/>
      <c r="BH100">
        <f>BH99*6/10*14.5</f>
        <v>4.8</v>
      </c>
    </row>
    <row r="101" spans="2:70" ht="14.5" thickBot="1" x14ac:dyDescent="0.35">
      <c r="B101" s="731"/>
      <c r="C101" s="543"/>
      <c r="D101" s="734"/>
      <c r="E101" s="701" t="s">
        <v>22</v>
      </c>
      <c r="F101" s="702"/>
      <c r="G101" s="194" t="s">
        <v>246</v>
      </c>
      <c r="H101" s="195" t="s">
        <v>276</v>
      </c>
      <c r="I101" s="196">
        <v>5</v>
      </c>
      <c r="J101" s="197">
        <v>3</v>
      </c>
      <c r="K101" s="119">
        <f t="shared" si="42"/>
        <v>3</v>
      </c>
      <c r="L101" s="117"/>
      <c r="M101" s="117"/>
      <c r="N101" s="118"/>
      <c r="O101" s="117"/>
      <c r="P101" s="117"/>
      <c r="Q101" s="117"/>
      <c r="R101" s="118"/>
      <c r="S101" s="119">
        <f t="shared" si="38"/>
        <v>5</v>
      </c>
      <c r="T101" s="117"/>
      <c r="U101" s="117"/>
      <c r="V101" s="118"/>
      <c r="W101" s="117"/>
      <c r="X101" s="117"/>
      <c r="Y101" s="117"/>
      <c r="Z101" s="118"/>
      <c r="AA101" s="117"/>
      <c r="AB101" s="117"/>
      <c r="AC101" s="117"/>
      <c r="AD101" s="118"/>
      <c r="AE101" s="117"/>
      <c r="AF101" s="117"/>
      <c r="AG101" s="117"/>
      <c r="AH101" s="118"/>
      <c r="AI101" s="119">
        <f t="shared" si="44"/>
        <v>5</v>
      </c>
      <c r="AJ101" s="117"/>
      <c r="AK101" s="117"/>
      <c r="AL101" s="118"/>
      <c r="AM101" s="117"/>
      <c r="AN101" s="117"/>
      <c r="AO101" s="117"/>
      <c r="AP101" s="118"/>
      <c r="AQ101" s="117"/>
      <c r="AR101" s="117"/>
      <c r="AS101" s="117"/>
      <c r="AT101" s="118"/>
      <c r="AU101" s="119">
        <f t="shared" ref="AU101:AU103" si="46">IF(ISNUMBER(FIND(AU$13,$G101)),$I101,IF(ISNUMBER(FIND(AU$13,$H101)),$J101,""))</f>
        <v>3</v>
      </c>
      <c r="AV101" s="117"/>
      <c r="AW101" s="117"/>
      <c r="AX101" s="118"/>
      <c r="AY101" s="117"/>
      <c r="AZ101" s="117"/>
      <c r="BA101" s="117"/>
      <c r="BB101" s="118"/>
      <c r="BC101" s="117"/>
      <c r="BD101" s="117"/>
      <c r="BE101" s="117"/>
      <c r="BF101" s="118"/>
    </row>
    <row r="102" spans="2:70" ht="14.5" thickBot="1" x14ac:dyDescent="0.35">
      <c r="B102" s="731"/>
      <c r="C102" s="543"/>
      <c r="D102" s="734"/>
      <c r="E102" s="701" t="s">
        <v>23</v>
      </c>
      <c r="F102" s="702"/>
      <c r="G102" s="194" t="s">
        <v>254</v>
      </c>
      <c r="H102" s="195" t="s">
        <v>282</v>
      </c>
      <c r="I102" s="196">
        <v>5</v>
      </c>
      <c r="J102" s="197">
        <v>1</v>
      </c>
      <c r="K102" s="117"/>
      <c r="L102" s="117"/>
      <c r="M102" s="117"/>
      <c r="N102" s="118"/>
      <c r="O102" s="117"/>
      <c r="P102" s="117"/>
      <c r="Q102" s="117"/>
      <c r="R102" s="118"/>
      <c r="S102" s="117"/>
      <c r="T102" s="117"/>
      <c r="U102" s="117"/>
      <c r="V102" s="118"/>
      <c r="W102" s="119">
        <f t="shared" si="43"/>
        <v>5</v>
      </c>
      <c r="X102" s="117"/>
      <c r="Y102" s="117"/>
      <c r="Z102" s="118"/>
      <c r="AA102" s="117"/>
      <c r="AB102" s="117"/>
      <c r="AC102" s="117"/>
      <c r="AD102" s="118"/>
      <c r="AE102" s="119">
        <f t="shared" si="36"/>
        <v>5</v>
      </c>
      <c r="AF102" s="117"/>
      <c r="AG102" s="117"/>
      <c r="AH102" s="118"/>
      <c r="AI102" s="117"/>
      <c r="AJ102" s="117"/>
      <c r="AK102" s="117"/>
      <c r="AL102" s="118"/>
      <c r="AM102" s="117"/>
      <c r="AN102" s="117"/>
      <c r="AO102" s="117"/>
      <c r="AP102" s="118"/>
      <c r="AQ102" s="119">
        <f t="shared" ref="AQ102" si="47">IF(ISNUMBER(FIND(AQ$13,$G102)),$I102,IF(ISNUMBER(FIND(AQ$13,$H102)),$J102,""))</f>
        <v>1</v>
      </c>
      <c r="AR102" s="117"/>
      <c r="AS102" s="117"/>
      <c r="AT102" s="118"/>
      <c r="AU102" s="117"/>
      <c r="AV102" s="117"/>
      <c r="AW102" s="117"/>
      <c r="AX102" s="118"/>
      <c r="AY102" s="117"/>
      <c r="AZ102" s="117"/>
      <c r="BA102" s="117"/>
      <c r="BB102" s="118"/>
      <c r="BC102" s="119">
        <f t="shared" si="45"/>
        <v>1</v>
      </c>
      <c r="BD102" s="117"/>
      <c r="BE102" s="117"/>
      <c r="BF102" s="118"/>
      <c r="BI102" t="s">
        <v>33</v>
      </c>
    </row>
    <row r="103" spans="2:70" ht="14.5" thickBot="1" x14ac:dyDescent="0.35">
      <c r="B103" s="731"/>
      <c r="C103" s="543"/>
      <c r="D103" s="734"/>
      <c r="E103" s="701" t="s">
        <v>24</v>
      </c>
      <c r="F103" s="702"/>
      <c r="G103" s="198" t="s">
        <v>283</v>
      </c>
      <c r="H103" s="199" t="s">
        <v>284</v>
      </c>
      <c r="I103" s="200">
        <v>2</v>
      </c>
      <c r="J103" s="201">
        <v>5</v>
      </c>
      <c r="K103" s="117"/>
      <c r="L103" s="123"/>
      <c r="M103" s="163"/>
      <c r="N103" s="164"/>
      <c r="O103" s="119">
        <f t="shared" si="37"/>
        <v>5</v>
      </c>
      <c r="P103" s="123"/>
      <c r="Q103" s="163"/>
      <c r="R103" s="164"/>
      <c r="S103" s="117"/>
      <c r="T103" s="123"/>
      <c r="U103" s="163"/>
      <c r="V103" s="164"/>
      <c r="W103" s="119">
        <f t="shared" si="43"/>
        <v>5</v>
      </c>
      <c r="X103" s="123"/>
      <c r="Y103" s="163"/>
      <c r="Z103" s="164"/>
      <c r="AA103" s="117"/>
      <c r="AB103" s="163"/>
      <c r="AC103" s="163"/>
      <c r="AD103" s="164"/>
      <c r="AE103" s="117"/>
      <c r="AF103" s="123"/>
      <c r="AG103" s="163"/>
      <c r="AH103" s="164"/>
      <c r="AI103" s="117"/>
      <c r="AJ103" s="123"/>
      <c r="AK103" s="163"/>
      <c r="AL103" s="164"/>
      <c r="AM103" s="117"/>
      <c r="AN103" s="123"/>
      <c r="AO103" s="163"/>
      <c r="AP103" s="164"/>
      <c r="AQ103" s="117"/>
      <c r="AR103" s="123"/>
      <c r="AS103" s="163"/>
      <c r="AT103" s="164"/>
      <c r="AU103" s="119">
        <f t="shared" si="46"/>
        <v>2</v>
      </c>
      <c r="AV103" s="163"/>
      <c r="AW103" s="163"/>
      <c r="AX103" s="164"/>
      <c r="AY103" s="119">
        <f t="shared" si="41"/>
        <v>2</v>
      </c>
      <c r="AZ103" s="123"/>
      <c r="BA103" s="163"/>
      <c r="BB103" s="164"/>
      <c r="BC103" s="117"/>
      <c r="BD103" s="163"/>
      <c r="BE103" s="163"/>
      <c r="BF103" s="164"/>
      <c r="BI103" t="s">
        <v>34</v>
      </c>
    </row>
    <row r="104" spans="2:70" ht="15" customHeight="1" x14ac:dyDescent="0.3">
      <c r="B104" s="731"/>
      <c r="C104" s="543"/>
      <c r="D104" s="722" t="s">
        <v>244</v>
      </c>
      <c r="E104" s="703" t="s">
        <v>17</v>
      </c>
      <c r="F104" s="704"/>
      <c r="G104" s="202" t="s">
        <v>4</v>
      </c>
      <c r="H104" s="203" t="s">
        <v>9</v>
      </c>
      <c r="I104" s="207">
        <v>211</v>
      </c>
      <c r="J104" s="204">
        <v>100</v>
      </c>
      <c r="K104" s="125"/>
      <c r="L104" s="117"/>
      <c r="M104" s="114"/>
      <c r="N104" s="115"/>
      <c r="O104" s="125"/>
      <c r="P104" s="117"/>
      <c r="Q104" s="114"/>
      <c r="R104" s="115"/>
      <c r="S104" s="125"/>
      <c r="T104" s="117"/>
      <c r="U104" s="114"/>
      <c r="V104" s="115"/>
      <c r="W104" s="125"/>
      <c r="X104" s="117"/>
      <c r="Y104" s="114"/>
      <c r="Z104" s="115"/>
      <c r="AA104" s="125"/>
      <c r="AB104" s="120">
        <f>IF(ISNUMBER(FIND(AA$13,$G104)),$I104,IF(ISNUMBER(FIND(AA$13,$H104)),$J104,""))</f>
        <v>211</v>
      </c>
      <c r="AC104" s="114"/>
      <c r="AD104" s="115"/>
      <c r="AE104" s="125"/>
      <c r="AF104" s="117"/>
      <c r="AG104" s="114"/>
      <c r="AH104" s="115"/>
      <c r="AI104" s="125"/>
      <c r="AJ104" s="117"/>
      <c r="AK104" s="114"/>
      <c r="AL104" s="115"/>
      <c r="AM104" s="125"/>
      <c r="AN104" s="117"/>
      <c r="AO104" s="114"/>
      <c r="AP104" s="115"/>
      <c r="AQ104" s="125"/>
      <c r="AR104" s="117"/>
      <c r="AS104" s="114"/>
      <c r="AT104" s="115"/>
      <c r="AU104" s="125"/>
      <c r="AV104" s="120">
        <f>IF(ISNUMBER(FIND(AU$13,$G104)),$I104,IF(ISNUMBER(FIND(AU$13,$H104)),$J104,""))</f>
        <v>100</v>
      </c>
      <c r="AW104" s="114"/>
      <c r="AX104" s="115"/>
      <c r="AY104" s="125"/>
      <c r="AZ104" s="117"/>
      <c r="BA104" s="114"/>
      <c r="BB104" s="115"/>
      <c r="BC104" s="125"/>
      <c r="BD104" s="114"/>
      <c r="BE104" s="114"/>
      <c r="BF104" s="115"/>
      <c r="BI104" t="s">
        <v>43</v>
      </c>
      <c r="BL104" t="s">
        <v>46</v>
      </c>
      <c r="BN104" t="s">
        <v>52</v>
      </c>
      <c r="BP104" s="8" t="s">
        <v>63</v>
      </c>
      <c r="BR104" t="s">
        <v>63</v>
      </c>
    </row>
    <row r="105" spans="2:70" x14ac:dyDescent="0.3">
      <c r="B105" s="731"/>
      <c r="C105" s="543"/>
      <c r="D105" s="723"/>
      <c r="E105" s="559" t="s">
        <v>18</v>
      </c>
      <c r="F105" s="560"/>
      <c r="G105" s="205" t="s">
        <v>10</v>
      </c>
      <c r="H105" s="206" t="s">
        <v>11</v>
      </c>
      <c r="I105" s="207">
        <v>235</v>
      </c>
      <c r="J105" s="207">
        <v>271</v>
      </c>
      <c r="K105" s="116"/>
      <c r="L105" s="117"/>
      <c r="M105" s="117"/>
      <c r="N105" s="118"/>
      <c r="O105" s="116"/>
      <c r="P105" s="117"/>
      <c r="Q105" s="117"/>
      <c r="R105" s="118"/>
      <c r="S105" s="116"/>
      <c r="T105" s="117"/>
      <c r="U105" s="117"/>
      <c r="V105" s="118"/>
      <c r="W105" s="116"/>
      <c r="X105" s="117"/>
      <c r="Y105" s="117"/>
      <c r="Z105" s="118"/>
      <c r="AA105" s="116"/>
      <c r="AB105" s="117"/>
      <c r="AC105" s="117"/>
      <c r="AD105" s="118"/>
      <c r="AE105" s="116"/>
      <c r="AF105" s="117"/>
      <c r="AG105" s="117"/>
      <c r="AH105" s="118"/>
      <c r="AI105" s="116"/>
      <c r="AJ105" s="117"/>
      <c r="AK105" s="117"/>
      <c r="AL105" s="118"/>
      <c r="AM105" s="116"/>
      <c r="AN105" s="117"/>
      <c r="AO105" s="117"/>
      <c r="AP105" s="118"/>
      <c r="AQ105" s="116"/>
      <c r="AR105" s="117"/>
      <c r="AS105" s="117"/>
      <c r="AT105" s="118"/>
      <c r="AU105" s="116"/>
      <c r="AV105" s="117"/>
      <c r="AW105" s="117"/>
      <c r="AX105" s="118"/>
      <c r="AY105" s="116"/>
      <c r="AZ105" s="120">
        <f>IF(ISNUMBER(FIND(AY$13,$G105)),$I105,IF(ISNUMBER(FIND(AY$13,$H105)),$J105,""))</f>
        <v>235</v>
      </c>
      <c r="BA105" s="117"/>
      <c r="BB105" s="118"/>
      <c r="BC105" s="116"/>
      <c r="BD105" s="120">
        <f t="shared" ref="BD105" si="48">IF(ISNUMBER(FIND(BC$13,$G105)),$I105,IF(ISNUMBER(FIND(BC$13,$H105)),$J105,""))</f>
        <v>271</v>
      </c>
      <c r="BE105" s="117"/>
      <c r="BF105" s="118"/>
      <c r="BI105" t="s">
        <v>44</v>
      </c>
      <c r="BL105" t="s">
        <v>47</v>
      </c>
      <c r="BN105" t="s">
        <v>53</v>
      </c>
      <c r="BP105" t="s">
        <v>61</v>
      </c>
      <c r="BR105" t="s">
        <v>61</v>
      </c>
    </row>
    <row r="106" spans="2:70" x14ac:dyDescent="0.3">
      <c r="B106" s="731"/>
      <c r="C106" s="543"/>
      <c r="D106" s="723"/>
      <c r="E106" s="559" t="s">
        <v>19</v>
      </c>
      <c r="F106" s="560"/>
      <c r="G106" s="205" t="s">
        <v>3</v>
      </c>
      <c r="H106" s="206" t="s">
        <v>7</v>
      </c>
      <c r="I106" s="207">
        <v>245</v>
      </c>
      <c r="J106" s="207">
        <v>225</v>
      </c>
      <c r="K106" s="116"/>
      <c r="L106" s="117"/>
      <c r="M106" s="117"/>
      <c r="N106" s="118"/>
      <c r="O106" s="116"/>
      <c r="P106" s="117"/>
      <c r="Q106" s="117"/>
      <c r="R106" s="118"/>
      <c r="S106" s="116"/>
      <c r="T106" s="117"/>
      <c r="U106" s="117"/>
      <c r="V106" s="118"/>
      <c r="W106" s="116"/>
      <c r="X106" s="120">
        <f t="shared" ref="X106" si="49">IF(ISNUMBER(FIND(W$13,$G106)),$I106,IF(ISNUMBER(FIND(W$13,$H106)),$J106,""))</f>
        <v>245</v>
      </c>
      <c r="Y106" s="117"/>
      <c r="Z106" s="118"/>
      <c r="AA106" s="116"/>
      <c r="AB106" s="117"/>
      <c r="AC106" s="117"/>
      <c r="AD106" s="118"/>
      <c r="AE106" s="116"/>
      <c r="AF106" s="117"/>
      <c r="AG106" s="117"/>
      <c r="AH106" s="118"/>
      <c r="AI106" s="116"/>
      <c r="AJ106" s="117"/>
      <c r="AK106" s="117"/>
      <c r="AL106" s="118"/>
      <c r="AM106" s="116"/>
      <c r="AN106" s="120">
        <f t="shared" ref="AN106" si="50">IF(ISNUMBER(FIND(AM$13,$G106)),$I106,IF(ISNUMBER(FIND(AM$13,$H106)),$J106,""))</f>
        <v>225</v>
      </c>
      <c r="AO106" s="117"/>
      <c r="AP106" s="118"/>
      <c r="AQ106" s="116"/>
      <c r="AR106" s="117"/>
      <c r="AS106" s="117"/>
      <c r="AT106" s="118"/>
      <c r="AU106" s="116"/>
      <c r="AV106" s="117"/>
      <c r="AW106" s="117"/>
      <c r="AX106" s="118"/>
      <c r="AY106" s="116"/>
      <c r="AZ106" s="117"/>
      <c r="BA106" s="117"/>
      <c r="BB106" s="118"/>
      <c r="BC106" s="116"/>
      <c r="BD106" s="117"/>
      <c r="BE106" s="117"/>
      <c r="BF106" s="118"/>
      <c r="BI106" t="s">
        <v>45</v>
      </c>
      <c r="BL106" t="s">
        <v>48</v>
      </c>
      <c r="BN106" t="s">
        <v>54</v>
      </c>
      <c r="BP106" t="s">
        <v>62</v>
      </c>
      <c r="BR106" t="s">
        <v>62</v>
      </c>
    </row>
    <row r="107" spans="2:70" x14ac:dyDescent="0.3">
      <c r="B107" s="731"/>
      <c r="C107" s="543"/>
      <c r="D107" s="723"/>
      <c r="E107" s="559" t="s">
        <v>20</v>
      </c>
      <c r="F107" s="560"/>
      <c r="G107" s="205" t="s">
        <v>2</v>
      </c>
      <c r="H107" s="206" t="s">
        <v>11</v>
      </c>
      <c r="I107" s="207">
        <v>227</v>
      </c>
      <c r="J107" s="207">
        <v>167</v>
      </c>
      <c r="K107" s="116"/>
      <c r="L107" s="117"/>
      <c r="M107" s="117"/>
      <c r="N107" s="118"/>
      <c r="O107" s="116"/>
      <c r="P107" s="117"/>
      <c r="Q107" s="117"/>
      <c r="R107" s="118"/>
      <c r="S107" s="116"/>
      <c r="T107" s="120">
        <f t="shared" ref="T107" si="51">IF(ISNUMBER(FIND(S$13,$G107)),$I107,IF(ISNUMBER(FIND(S$13,$H107)),$J107,""))</f>
        <v>227</v>
      </c>
      <c r="U107" s="117"/>
      <c r="V107" s="118"/>
      <c r="W107" s="116"/>
      <c r="X107" s="117"/>
      <c r="Y107" s="117"/>
      <c r="Z107" s="118"/>
      <c r="AA107" s="116"/>
      <c r="AB107" s="117"/>
      <c r="AC107" s="117"/>
      <c r="AD107" s="118"/>
      <c r="AE107" s="116"/>
      <c r="AF107" s="117"/>
      <c r="AG107" s="117"/>
      <c r="AH107" s="118"/>
      <c r="AI107" s="116"/>
      <c r="AJ107" s="117"/>
      <c r="AK107" s="117"/>
      <c r="AL107" s="118"/>
      <c r="AM107" s="116"/>
      <c r="AN107" s="117"/>
      <c r="AO107" s="117"/>
      <c r="AP107" s="118"/>
      <c r="AQ107" s="116"/>
      <c r="AR107" s="117"/>
      <c r="AS107" s="117"/>
      <c r="AT107" s="118"/>
      <c r="AU107" s="116"/>
      <c r="AV107" s="117"/>
      <c r="AW107" s="117"/>
      <c r="AX107" s="118"/>
      <c r="AY107" s="116"/>
      <c r="AZ107" s="117"/>
      <c r="BA107" s="117"/>
      <c r="BB107" s="118"/>
      <c r="BC107" s="116"/>
      <c r="BD107" s="120">
        <f t="shared" ref="BD107" si="52">IF(ISNUMBER(FIND(BC$13,$G107)),$I107,IF(ISNUMBER(FIND(BC$13,$H107)),$J107,""))</f>
        <v>167</v>
      </c>
      <c r="BE107" s="117"/>
      <c r="BF107" s="118"/>
    </row>
    <row r="108" spans="2:70" x14ac:dyDescent="0.3">
      <c r="B108" s="731"/>
      <c r="C108" s="543"/>
      <c r="D108" s="723"/>
      <c r="E108" s="559" t="s">
        <v>21</v>
      </c>
      <c r="F108" s="560"/>
      <c r="G108" s="205" t="s">
        <v>0</v>
      </c>
      <c r="H108" s="206" t="s">
        <v>6</v>
      </c>
      <c r="I108" s="207">
        <v>232</v>
      </c>
      <c r="J108" s="207">
        <v>222</v>
      </c>
      <c r="K108" s="116"/>
      <c r="L108" s="120">
        <f t="shared" ref="L108" si="53">IF(ISNUMBER(FIND(K$13,$G108)),$I108,IF(ISNUMBER(FIND(K$13,$H108)),$J108,""))</f>
        <v>232</v>
      </c>
      <c r="M108" s="117"/>
      <c r="N108" s="118"/>
      <c r="O108" s="116"/>
      <c r="P108" s="117"/>
      <c r="Q108" s="117"/>
      <c r="R108" s="118"/>
      <c r="S108" s="116"/>
      <c r="T108" s="117"/>
      <c r="U108" s="117"/>
      <c r="V108" s="118"/>
      <c r="W108" s="116"/>
      <c r="X108" s="117"/>
      <c r="Y108" s="117"/>
      <c r="Z108" s="118"/>
      <c r="AA108" s="116"/>
      <c r="AB108" s="117"/>
      <c r="AC108" s="117"/>
      <c r="AD108" s="118"/>
      <c r="AE108" s="116"/>
      <c r="AF108" s="117"/>
      <c r="AG108" s="117"/>
      <c r="AH108" s="118"/>
      <c r="AI108" s="116"/>
      <c r="AJ108" s="120">
        <f t="shared" ref="AJ108" si="54">IF(ISNUMBER(FIND(AI$13,$G108)),$I108,IF(ISNUMBER(FIND(AI$13,$H108)),$J108,""))</f>
        <v>222</v>
      </c>
      <c r="AK108" s="117"/>
      <c r="AL108" s="118"/>
      <c r="AM108" s="116"/>
      <c r="AN108" s="117"/>
      <c r="AO108" s="117"/>
      <c r="AP108" s="118"/>
      <c r="AQ108" s="116"/>
      <c r="AR108" s="117"/>
      <c r="AS108" s="117"/>
      <c r="AT108" s="118"/>
      <c r="AU108" s="116"/>
      <c r="AV108" s="117"/>
      <c r="AW108" s="117"/>
      <c r="AX108" s="118"/>
      <c r="AY108" s="116"/>
      <c r="AZ108" s="117"/>
      <c r="BA108" s="117"/>
      <c r="BB108" s="118"/>
      <c r="BC108" s="116"/>
      <c r="BD108" s="117"/>
      <c r="BE108" s="117"/>
      <c r="BF108" s="118"/>
    </row>
    <row r="109" spans="2:70" x14ac:dyDescent="0.3">
      <c r="B109" s="731"/>
      <c r="C109" s="543"/>
      <c r="D109" s="723"/>
      <c r="E109" s="559" t="s">
        <v>22</v>
      </c>
      <c r="F109" s="560"/>
      <c r="G109" s="205" t="s">
        <v>1</v>
      </c>
      <c r="H109" s="206" t="s">
        <v>5</v>
      </c>
      <c r="I109" s="207">
        <v>88</v>
      </c>
      <c r="J109" s="207">
        <v>224</v>
      </c>
      <c r="K109" s="116"/>
      <c r="L109" s="117"/>
      <c r="M109" s="117"/>
      <c r="N109" s="118"/>
      <c r="O109" s="116"/>
      <c r="P109" s="120">
        <f t="shared" ref="P109" si="55">IF(ISNUMBER(FIND(O$13,$G109)),$I109,IF(ISNUMBER(FIND(O$13,$H109)),$J109,""))</f>
        <v>88</v>
      </c>
      <c r="Q109" s="117"/>
      <c r="R109" s="118"/>
      <c r="S109" s="116"/>
      <c r="T109" s="117"/>
      <c r="U109" s="117"/>
      <c r="V109" s="118"/>
      <c r="W109" s="116"/>
      <c r="X109" s="117"/>
      <c r="Y109" s="117"/>
      <c r="Z109" s="118"/>
      <c r="AA109" s="116"/>
      <c r="AB109" s="117"/>
      <c r="AC109" s="117"/>
      <c r="AD109" s="118"/>
      <c r="AE109" s="116"/>
      <c r="AF109" s="120">
        <f t="shared" ref="AF109" si="56">IF(ISNUMBER(FIND(AE$13,$G109)),$I109,IF(ISNUMBER(FIND(AE$13,$H109)),$J109,""))</f>
        <v>224</v>
      </c>
      <c r="AG109" s="117"/>
      <c r="AH109" s="118"/>
      <c r="AI109" s="116"/>
      <c r="AJ109" s="117"/>
      <c r="AK109" s="117"/>
      <c r="AL109" s="118"/>
      <c r="AM109" s="116"/>
      <c r="AN109" s="117"/>
      <c r="AO109" s="117"/>
      <c r="AP109" s="118"/>
      <c r="AQ109" s="116"/>
      <c r="AR109" s="117"/>
      <c r="AS109" s="117"/>
      <c r="AT109" s="118"/>
      <c r="AU109" s="116"/>
      <c r="AV109" s="117"/>
      <c r="AW109" s="117"/>
      <c r="AX109" s="118"/>
      <c r="AY109" s="116"/>
      <c r="AZ109" s="117"/>
      <c r="BA109" s="117"/>
      <c r="BB109" s="118"/>
      <c r="BC109" s="116"/>
      <c r="BD109" s="117"/>
      <c r="BE109" s="117"/>
      <c r="BF109" s="118"/>
    </row>
    <row r="110" spans="2:70" x14ac:dyDescent="0.3">
      <c r="B110" s="731"/>
      <c r="C110" s="543"/>
      <c r="D110" s="723"/>
      <c r="E110" s="559" t="s">
        <v>23</v>
      </c>
      <c r="F110" s="560"/>
      <c r="G110" s="205" t="s">
        <v>9</v>
      </c>
      <c r="H110" s="206" t="s">
        <v>10</v>
      </c>
      <c r="I110" s="207">
        <v>218</v>
      </c>
      <c r="J110" s="207">
        <v>178</v>
      </c>
      <c r="K110" s="116"/>
      <c r="L110" s="117"/>
      <c r="M110" s="117"/>
      <c r="N110" s="118"/>
      <c r="O110" s="116"/>
      <c r="P110" s="117"/>
      <c r="Q110" s="117"/>
      <c r="R110" s="118"/>
      <c r="S110" s="116"/>
      <c r="T110" s="117"/>
      <c r="U110" s="117"/>
      <c r="V110" s="118"/>
      <c r="W110" s="116"/>
      <c r="X110" s="117"/>
      <c r="Y110" s="117"/>
      <c r="Z110" s="118"/>
      <c r="AA110" s="116"/>
      <c r="AB110" s="117"/>
      <c r="AC110" s="117"/>
      <c r="AD110" s="118"/>
      <c r="AE110" s="116"/>
      <c r="AF110" s="117"/>
      <c r="AG110" s="117"/>
      <c r="AH110" s="118"/>
      <c r="AI110" s="116"/>
      <c r="AJ110" s="117"/>
      <c r="AK110" s="117"/>
      <c r="AL110" s="118"/>
      <c r="AM110" s="116"/>
      <c r="AN110" s="117"/>
      <c r="AO110" s="117"/>
      <c r="AP110" s="118"/>
      <c r="AQ110" s="116"/>
      <c r="AR110" s="117"/>
      <c r="AS110" s="117"/>
      <c r="AT110" s="118"/>
      <c r="AU110" s="116"/>
      <c r="AV110" s="120">
        <f>IF(ISNUMBER(FIND(AU$13,$G110)),$I110,IF(ISNUMBER(FIND(AU$13,$H110)),$J110,""))</f>
        <v>218</v>
      </c>
      <c r="AW110" s="117"/>
      <c r="AX110" s="118"/>
      <c r="AY110" s="116"/>
      <c r="AZ110" s="120">
        <f>IF(ISNUMBER(FIND(AY$13,$G110)),$I110,IF(ISNUMBER(FIND(AY$13,$H110)),$J110,""))</f>
        <v>178</v>
      </c>
      <c r="BA110" s="117"/>
      <c r="BB110" s="118"/>
      <c r="BC110" s="116"/>
      <c r="BD110" s="117"/>
      <c r="BE110" s="117"/>
      <c r="BF110" s="118"/>
    </row>
    <row r="111" spans="2:70" ht="14.5" thickBot="1" x14ac:dyDescent="0.35">
      <c r="B111" s="731"/>
      <c r="C111" s="543"/>
      <c r="D111" s="723"/>
      <c r="E111" s="559" t="s">
        <v>24</v>
      </c>
      <c r="F111" s="560"/>
      <c r="G111" s="208" t="s">
        <v>4</v>
      </c>
      <c r="H111" s="209" t="s">
        <v>8</v>
      </c>
      <c r="I111" s="210">
        <v>201</v>
      </c>
      <c r="J111" s="210">
        <v>217</v>
      </c>
      <c r="K111" s="122"/>
      <c r="L111" s="123"/>
      <c r="M111" s="123"/>
      <c r="N111" s="124"/>
      <c r="O111" s="122"/>
      <c r="P111" s="123"/>
      <c r="Q111" s="123"/>
      <c r="R111" s="124"/>
      <c r="S111" s="122"/>
      <c r="T111" s="123"/>
      <c r="U111" s="123"/>
      <c r="V111" s="124"/>
      <c r="W111" s="122"/>
      <c r="X111" s="123"/>
      <c r="Y111" s="123"/>
      <c r="Z111" s="124"/>
      <c r="AA111" s="122"/>
      <c r="AB111" s="120">
        <f>IF(ISNUMBER(FIND(AA$13,$G111)),$I111,IF(ISNUMBER(FIND(AA$13,$H111)),$J111,""))</f>
        <v>201</v>
      </c>
      <c r="AC111" s="123"/>
      <c r="AD111" s="124"/>
      <c r="AE111" s="122"/>
      <c r="AF111" s="123"/>
      <c r="AG111" s="123"/>
      <c r="AH111" s="124"/>
      <c r="AI111" s="122"/>
      <c r="AJ111" s="123"/>
      <c r="AK111" s="123"/>
      <c r="AL111" s="124"/>
      <c r="AM111" s="122"/>
      <c r="AN111" s="123"/>
      <c r="AO111" s="123"/>
      <c r="AP111" s="124"/>
      <c r="AQ111" s="122"/>
      <c r="AR111" s="120">
        <f>IF(ISNUMBER(FIND(AQ$13,$G111)),$I111,IF(ISNUMBER(FIND(AQ$13,$H111)),$J111,""))</f>
        <v>217</v>
      </c>
      <c r="AS111" s="123"/>
      <c r="AT111" s="124"/>
      <c r="AU111" s="122"/>
      <c r="AV111" s="117"/>
      <c r="AW111" s="123"/>
      <c r="AX111" s="124"/>
      <c r="AY111" s="122"/>
      <c r="AZ111" s="123"/>
      <c r="BA111" s="123"/>
      <c r="BB111" s="124"/>
      <c r="BC111" s="122"/>
      <c r="BD111" s="123"/>
      <c r="BE111" s="123"/>
      <c r="BF111" s="124"/>
    </row>
    <row r="112" spans="2:70" x14ac:dyDescent="0.3">
      <c r="B112" s="731"/>
      <c r="C112" s="543"/>
      <c r="D112" s="722" t="s">
        <v>243</v>
      </c>
      <c r="E112" s="703" t="s">
        <v>17</v>
      </c>
      <c r="F112" s="704"/>
      <c r="G112" s="202" t="s">
        <v>4</v>
      </c>
      <c r="H112" s="203" t="s">
        <v>9</v>
      </c>
      <c r="I112" s="186">
        <f>I104/MAX($I104:$J104)*210</f>
        <v>210</v>
      </c>
      <c r="J112" s="187">
        <f t="shared" ref="J112:J119" si="57">J104/MAX($I104:$J104)*210</f>
        <v>99.526066350710906</v>
      </c>
      <c r="K112" s="125"/>
      <c r="L112" s="117"/>
      <c r="M112" s="114"/>
      <c r="N112" s="115"/>
      <c r="O112" s="125"/>
      <c r="P112" s="117"/>
      <c r="Q112" s="114"/>
      <c r="R112" s="115"/>
      <c r="S112" s="125"/>
      <c r="T112" s="117"/>
      <c r="U112" s="114"/>
      <c r="V112" s="115"/>
      <c r="W112" s="125"/>
      <c r="X112" s="117"/>
      <c r="Y112" s="114"/>
      <c r="Z112" s="115"/>
      <c r="AA112" s="125"/>
      <c r="AB112" s="120">
        <f>AB104/MAX($K104:$BE104)*210</f>
        <v>210</v>
      </c>
      <c r="AC112" s="114"/>
      <c r="AD112" s="115"/>
      <c r="AE112" s="125"/>
      <c r="AF112" s="117"/>
      <c r="AG112" s="114"/>
      <c r="AH112" s="115"/>
      <c r="AI112" s="125"/>
      <c r="AJ112" s="114"/>
      <c r="AK112" s="114"/>
      <c r="AL112" s="115"/>
      <c r="AM112" s="125"/>
      <c r="AN112" s="114"/>
      <c r="AO112" s="114"/>
      <c r="AP112" s="115"/>
      <c r="AQ112" s="125"/>
      <c r="AR112" s="117"/>
      <c r="AS112" s="114"/>
      <c r="AT112" s="115"/>
      <c r="AU112" s="125"/>
      <c r="AV112" s="120">
        <f>AV104/MAX($K104:$BE104)*210</f>
        <v>99.526066350710906</v>
      </c>
      <c r="AW112" s="114"/>
      <c r="AX112" s="115"/>
      <c r="AY112" s="125"/>
      <c r="AZ112" s="114"/>
      <c r="BA112" s="114"/>
      <c r="BB112" s="115"/>
      <c r="BC112" s="125"/>
      <c r="BD112" s="114"/>
      <c r="BE112" s="114"/>
      <c r="BF112" s="115"/>
    </row>
    <row r="113" spans="2:70" x14ac:dyDescent="0.3">
      <c r="B113" s="731"/>
      <c r="C113" s="543"/>
      <c r="D113" s="723"/>
      <c r="E113" s="559" t="s">
        <v>18</v>
      </c>
      <c r="F113" s="560"/>
      <c r="G113" s="205" t="s">
        <v>10</v>
      </c>
      <c r="H113" s="206" t="s">
        <v>11</v>
      </c>
      <c r="I113" s="188">
        <f t="shared" ref="I113" si="58">I105/MAX($I105:$J105)*210</f>
        <v>182.10332103321034</v>
      </c>
      <c r="J113" s="189">
        <f t="shared" si="57"/>
        <v>210</v>
      </c>
      <c r="K113" s="116"/>
      <c r="L113" s="117"/>
      <c r="M113" s="117"/>
      <c r="N113" s="118"/>
      <c r="O113" s="116"/>
      <c r="P113" s="117"/>
      <c r="Q113" s="117"/>
      <c r="R113" s="118"/>
      <c r="S113" s="116"/>
      <c r="T113" s="117"/>
      <c r="U113" s="117"/>
      <c r="V113" s="118"/>
      <c r="W113" s="116"/>
      <c r="X113" s="117"/>
      <c r="Y113" s="117"/>
      <c r="Z113" s="118"/>
      <c r="AA113" s="116"/>
      <c r="AB113" s="117"/>
      <c r="AC113" s="117"/>
      <c r="AD113" s="118"/>
      <c r="AE113" s="116"/>
      <c r="AF113" s="117"/>
      <c r="AG113" s="117"/>
      <c r="AH113" s="118"/>
      <c r="AI113" s="116"/>
      <c r="AJ113" s="117"/>
      <c r="AK113" s="117"/>
      <c r="AL113" s="118"/>
      <c r="AM113" s="116"/>
      <c r="AN113" s="117"/>
      <c r="AO113" s="117"/>
      <c r="AP113" s="118"/>
      <c r="AQ113" s="116"/>
      <c r="AR113" s="117"/>
      <c r="AS113" s="117"/>
      <c r="AT113" s="118"/>
      <c r="AU113" s="116"/>
      <c r="AV113" s="117"/>
      <c r="AW113" s="117"/>
      <c r="AX113" s="118"/>
      <c r="AY113" s="116"/>
      <c r="AZ113" s="120">
        <f>AZ105/MAX($K105:$BE105)*210</f>
        <v>182.10332103321034</v>
      </c>
      <c r="BA113" s="117"/>
      <c r="BB113" s="118"/>
      <c r="BC113" s="116"/>
      <c r="BD113" s="120">
        <f>BD105/MAX($K105:$BE105)*210</f>
        <v>210</v>
      </c>
      <c r="BE113" s="117"/>
      <c r="BF113" s="118"/>
    </row>
    <row r="114" spans="2:70" x14ac:dyDescent="0.3">
      <c r="B114" s="731"/>
      <c r="C114" s="543"/>
      <c r="D114" s="723"/>
      <c r="E114" s="559" t="s">
        <v>19</v>
      </c>
      <c r="F114" s="560"/>
      <c r="G114" s="205" t="s">
        <v>3</v>
      </c>
      <c r="H114" s="206" t="s">
        <v>7</v>
      </c>
      <c r="I114" s="188">
        <f t="shared" ref="I114" si="59">I106/MAX($I106:$J106)*210</f>
        <v>210</v>
      </c>
      <c r="J114" s="189">
        <f t="shared" si="57"/>
        <v>192.85714285714286</v>
      </c>
      <c r="K114" s="116"/>
      <c r="L114" s="117"/>
      <c r="M114" s="117"/>
      <c r="N114" s="118"/>
      <c r="O114" s="116"/>
      <c r="P114" s="117"/>
      <c r="Q114" s="117"/>
      <c r="R114" s="118"/>
      <c r="S114" s="116"/>
      <c r="T114" s="117"/>
      <c r="U114" s="117"/>
      <c r="V114" s="118"/>
      <c r="W114" s="116"/>
      <c r="X114" s="120">
        <f>X106/MAX($K106:$BE106)*210</f>
        <v>210</v>
      </c>
      <c r="Y114" s="117"/>
      <c r="Z114" s="118"/>
      <c r="AA114" s="116"/>
      <c r="AB114" s="117"/>
      <c r="AC114" s="117"/>
      <c r="AD114" s="118"/>
      <c r="AE114" s="116"/>
      <c r="AF114" s="117"/>
      <c r="AG114" s="117"/>
      <c r="AH114" s="118"/>
      <c r="AI114" s="116"/>
      <c r="AJ114" s="117"/>
      <c r="AK114" s="117"/>
      <c r="AL114" s="118"/>
      <c r="AM114" s="116"/>
      <c r="AN114" s="120">
        <f>AN106/MAX($K106:$BE106)*210</f>
        <v>192.85714285714286</v>
      </c>
      <c r="AO114" s="117"/>
      <c r="AP114" s="118"/>
      <c r="AQ114" s="116"/>
      <c r="AR114" s="117"/>
      <c r="AS114" s="117"/>
      <c r="AT114" s="118"/>
      <c r="AU114" s="116"/>
      <c r="AV114" s="117"/>
      <c r="AW114" s="117"/>
      <c r="AX114" s="118"/>
      <c r="AY114" s="116"/>
      <c r="AZ114" s="117"/>
      <c r="BA114" s="117"/>
      <c r="BB114" s="118"/>
      <c r="BC114" s="116"/>
      <c r="BD114" s="117"/>
      <c r="BE114" s="117"/>
      <c r="BF114" s="118"/>
    </row>
    <row r="115" spans="2:70" x14ac:dyDescent="0.3">
      <c r="B115" s="731"/>
      <c r="C115" s="543"/>
      <c r="D115" s="723"/>
      <c r="E115" s="559" t="s">
        <v>20</v>
      </c>
      <c r="F115" s="560"/>
      <c r="G115" s="205" t="s">
        <v>2</v>
      </c>
      <c r="H115" s="206" t="s">
        <v>11</v>
      </c>
      <c r="I115" s="188">
        <f t="shared" ref="I115" si="60">I107/MAX($I107:$J107)*210</f>
        <v>210</v>
      </c>
      <c r="J115" s="189">
        <f t="shared" si="57"/>
        <v>154.49339207048459</v>
      </c>
      <c r="K115" s="116"/>
      <c r="L115" s="117"/>
      <c r="M115" s="117"/>
      <c r="N115" s="118"/>
      <c r="O115" s="116"/>
      <c r="P115" s="117"/>
      <c r="Q115" s="117"/>
      <c r="R115" s="118"/>
      <c r="S115" s="116"/>
      <c r="T115" s="120">
        <f>T107/MAX($K107:$BE107)*210</f>
        <v>210</v>
      </c>
      <c r="U115" s="117"/>
      <c r="V115" s="118"/>
      <c r="W115" s="116"/>
      <c r="X115" s="117"/>
      <c r="Y115" s="117"/>
      <c r="Z115" s="118"/>
      <c r="AA115" s="116"/>
      <c r="AB115" s="117"/>
      <c r="AC115" s="117"/>
      <c r="AD115" s="118"/>
      <c r="AE115" s="116"/>
      <c r="AF115" s="117"/>
      <c r="AG115" s="117"/>
      <c r="AH115" s="118"/>
      <c r="AI115" s="116"/>
      <c r="AJ115" s="117"/>
      <c r="AK115" s="117"/>
      <c r="AL115" s="118"/>
      <c r="AM115" s="116"/>
      <c r="AN115" s="117"/>
      <c r="AO115" s="117"/>
      <c r="AP115" s="118"/>
      <c r="AQ115" s="116"/>
      <c r="AR115" s="117"/>
      <c r="AS115" s="117"/>
      <c r="AT115" s="118"/>
      <c r="AU115" s="116"/>
      <c r="AV115" s="117"/>
      <c r="AW115" s="117"/>
      <c r="AX115" s="118"/>
      <c r="AY115" s="116"/>
      <c r="AZ115" s="117"/>
      <c r="BA115" s="117"/>
      <c r="BB115" s="118"/>
      <c r="BC115" s="116"/>
      <c r="BD115" s="120">
        <f>BD107/MAX($K107:$BE107)*210</f>
        <v>154.49339207048459</v>
      </c>
      <c r="BE115" s="117"/>
      <c r="BF115" s="118"/>
    </row>
    <row r="116" spans="2:70" x14ac:dyDescent="0.3">
      <c r="B116" s="731"/>
      <c r="C116" s="543"/>
      <c r="D116" s="723"/>
      <c r="E116" s="559" t="s">
        <v>21</v>
      </c>
      <c r="F116" s="560"/>
      <c r="G116" s="205" t="s">
        <v>0</v>
      </c>
      <c r="H116" s="206" t="s">
        <v>6</v>
      </c>
      <c r="I116" s="188">
        <f t="shared" ref="I116" si="61">I108/MAX($I108:$J108)*210</f>
        <v>210</v>
      </c>
      <c r="J116" s="189">
        <f t="shared" si="57"/>
        <v>200.94827586206895</v>
      </c>
      <c r="K116" s="116"/>
      <c r="L116" s="120">
        <f>L108/MAX($K108:$BE108)*210</f>
        <v>210</v>
      </c>
      <c r="M116" s="117"/>
      <c r="N116" s="118"/>
      <c r="O116" s="116"/>
      <c r="P116" s="117"/>
      <c r="Q116" s="117"/>
      <c r="R116" s="118"/>
      <c r="S116" s="116"/>
      <c r="T116" s="117"/>
      <c r="U116" s="117"/>
      <c r="V116" s="118"/>
      <c r="W116" s="116"/>
      <c r="X116" s="117"/>
      <c r="Y116" s="117"/>
      <c r="Z116" s="118"/>
      <c r="AA116" s="116"/>
      <c r="AB116" s="117"/>
      <c r="AC116" s="117"/>
      <c r="AD116" s="118"/>
      <c r="AE116" s="116"/>
      <c r="AF116" s="117"/>
      <c r="AG116" s="117"/>
      <c r="AH116" s="118"/>
      <c r="AI116" s="116"/>
      <c r="AJ116" s="120">
        <f>AJ108/MAX($K108:$BE108)*210</f>
        <v>200.94827586206895</v>
      </c>
      <c r="AK116" s="117"/>
      <c r="AL116" s="118"/>
      <c r="AM116" s="116"/>
      <c r="AN116" s="117"/>
      <c r="AO116" s="117"/>
      <c r="AP116" s="118"/>
      <c r="AQ116" s="116"/>
      <c r="AR116" s="117"/>
      <c r="AS116" s="117"/>
      <c r="AT116" s="118"/>
      <c r="AU116" s="116"/>
      <c r="AV116" s="117"/>
      <c r="AW116" s="117"/>
      <c r="AX116" s="118"/>
      <c r="AY116" s="116"/>
      <c r="AZ116" s="117"/>
      <c r="BA116" s="117"/>
      <c r="BB116" s="118"/>
      <c r="BC116" s="116"/>
      <c r="BD116" s="117"/>
      <c r="BE116" s="117"/>
      <c r="BF116" s="118"/>
    </row>
    <row r="117" spans="2:70" x14ac:dyDescent="0.3">
      <c r="B117" s="731"/>
      <c r="C117" s="543"/>
      <c r="D117" s="723"/>
      <c r="E117" s="559" t="s">
        <v>22</v>
      </c>
      <c r="F117" s="560"/>
      <c r="G117" s="205" t="s">
        <v>1</v>
      </c>
      <c r="H117" s="206" t="s">
        <v>5</v>
      </c>
      <c r="I117" s="188">
        <f t="shared" ref="I117" si="62">I109/MAX($I109:$J109)*210</f>
        <v>82.5</v>
      </c>
      <c r="J117" s="189">
        <f t="shared" si="57"/>
        <v>210</v>
      </c>
      <c r="K117" s="116"/>
      <c r="L117" s="117"/>
      <c r="M117" s="117"/>
      <c r="N117" s="118"/>
      <c r="O117" s="116"/>
      <c r="P117" s="120">
        <f>P109/MAX($K109:$BE109)*210</f>
        <v>82.5</v>
      </c>
      <c r="Q117" s="117"/>
      <c r="R117" s="118"/>
      <c r="S117" s="116"/>
      <c r="T117" s="117"/>
      <c r="U117" s="117"/>
      <c r="V117" s="118"/>
      <c r="W117" s="116"/>
      <c r="X117" s="117"/>
      <c r="Y117" s="117"/>
      <c r="Z117" s="118"/>
      <c r="AA117" s="116"/>
      <c r="AB117" s="117"/>
      <c r="AC117" s="117"/>
      <c r="AD117" s="118"/>
      <c r="AE117" s="116"/>
      <c r="AF117" s="120">
        <f>AF109/MAX($K109:$BE109)*210</f>
        <v>210</v>
      </c>
      <c r="AG117" s="117"/>
      <c r="AH117" s="118"/>
      <c r="AI117" s="116"/>
      <c r="AJ117" s="117"/>
      <c r="AK117" s="117"/>
      <c r="AL117" s="118"/>
      <c r="AM117" s="116"/>
      <c r="AN117" s="117"/>
      <c r="AO117" s="117"/>
      <c r="AP117" s="118"/>
      <c r="AQ117" s="116"/>
      <c r="AR117" s="117"/>
      <c r="AS117" s="117"/>
      <c r="AT117" s="118"/>
      <c r="AU117" s="116"/>
      <c r="AV117" s="117"/>
      <c r="AW117" s="117"/>
      <c r="AX117" s="118"/>
      <c r="AY117" s="116"/>
      <c r="AZ117" s="117"/>
      <c r="BA117" s="117"/>
      <c r="BB117" s="118"/>
      <c r="BC117" s="116"/>
      <c r="BD117" s="117"/>
      <c r="BE117" s="117"/>
      <c r="BF117" s="118"/>
    </row>
    <row r="118" spans="2:70" x14ac:dyDescent="0.3">
      <c r="B118" s="731"/>
      <c r="C118" s="543"/>
      <c r="D118" s="723"/>
      <c r="E118" s="559" t="s">
        <v>23</v>
      </c>
      <c r="F118" s="560"/>
      <c r="G118" s="205" t="s">
        <v>9</v>
      </c>
      <c r="H118" s="206" t="s">
        <v>10</v>
      </c>
      <c r="I118" s="188">
        <f t="shared" ref="I118" si="63">I110/MAX($I110:$J110)*210</f>
        <v>210</v>
      </c>
      <c r="J118" s="189">
        <f t="shared" si="57"/>
        <v>171.46788990825686</v>
      </c>
      <c r="K118" s="116"/>
      <c r="L118" s="117"/>
      <c r="M118" s="117"/>
      <c r="N118" s="118"/>
      <c r="O118" s="116"/>
      <c r="P118" s="117"/>
      <c r="Q118" s="117"/>
      <c r="R118" s="118"/>
      <c r="S118" s="116"/>
      <c r="T118" s="117"/>
      <c r="U118" s="117"/>
      <c r="V118" s="118"/>
      <c r="W118" s="116"/>
      <c r="X118" s="117"/>
      <c r="Y118" s="117"/>
      <c r="Z118" s="118"/>
      <c r="AA118" s="116"/>
      <c r="AB118" s="117"/>
      <c r="AC118" s="117"/>
      <c r="AD118" s="118"/>
      <c r="AE118" s="116"/>
      <c r="AF118" s="117"/>
      <c r="AG118" s="117"/>
      <c r="AH118" s="118"/>
      <c r="AI118" s="116"/>
      <c r="AJ118" s="117"/>
      <c r="AK118" s="117"/>
      <c r="AL118" s="118"/>
      <c r="AM118" s="116"/>
      <c r="AN118" s="117"/>
      <c r="AO118" s="117"/>
      <c r="AP118" s="118"/>
      <c r="AQ118" s="116"/>
      <c r="AR118" s="117"/>
      <c r="AS118" s="117"/>
      <c r="AT118" s="118"/>
      <c r="AU118" s="116"/>
      <c r="AV118" s="120">
        <f>AV110/MAX($K110:$BE110)*210</f>
        <v>210</v>
      </c>
      <c r="AW118" s="117"/>
      <c r="AX118" s="118"/>
      <c r="AY118" s="116"/>
      <c r="AZ118" s="120">
        <f>AZ110/MAX($K110:$BE110)*210</f>
        <v>171.46788990825686</v>
      </c>
      <c r="BA118" s="117"/>
      <c r="BB118" s="118"/>
      <c r="BC118" s="116"/>
      <c r="BD118" s="117"/>
      <c r="BE118" s="117"/>
      <c r="BF118" s="118"/>
    </row>
    <row r="119" spans="2:70" ht="14.5" thickBot="1" x14ac:dyDescent="0.35">
      <c r="B119" s="731"/>
      <c r="C119" s="543"/>
      <c r="D119" s="723"/>
      <c r="E119" s="559" t="s">
        <v>24</v>
      </c>
      <c r="F119" s="560"/>
      <c r="G119" s="208" t="s">
        <v>4</v>
      </c>
      <c r="H119" s="209" t="s">
        <v>8</v>
      </c>
      <c r="I119" s="248">
        <f t="shared" ref="I119" si="64">I111/MAX($I111:$J111)*210</f>
        <v>194.51612903225805</v>
      </c>
      <c r="J119" s="249">
        <f t="shared" si="57"/>
        <v>210</v>
      </c>
      <c r="K119" s="122"/>
      <c r="L119" s="117"/>
      <c r="M119" s="123"/>
      <c r="N119" s="124"/>
      <c r="O119" s="122"/>
      <c r="P119" s="117"/>
      <c r="Q119" s="123"/>
      <c r="R119" s="124"/>
      <c r="S119" s="122"/>
      <c r="T119" s="117"/>
      <c r="U119" s="123"/>
      <c r="V119" s="124"/>
      <c r="W119" s="122"/>
      <c r="X119" s="117"/>
      <c r="Y119" s="123"/>
      <c r="Z119" s="124"/>
      <c r="AA119" s="122"/>
      <c r="AB119" s="120">
        <f>AB111/MAX($K111:$BE111)*210</f>
        <v>194.51612903225805</v>
      </c>
      <c r="AC119" s="123"/>
      <c r="AD119" s="124"/>
      <c r="AE119" s="122"/>
      <c r="AF119" s="117"/>
      <c r="AG119" s="123"/>
      <c r="AH119" s="124"/>
      <c r="AI119" s="122"/>
      <c r="AJ119" s="117"/>
      <c r="AK119" s="123"/>
      <c r="AL119" s="124"/>
      <c r="AM119" s="122"/>
      <c r="AN119" s="117"/>
      <c r="AO119" s="123"/>
      <c r="AP119" s="124"/>
      <c r="AQ119" s="122"/>
      <c r="AR119" s="120">
        <f>AR111/MAX($K111:$BE111)*210</f>
        <v>210</v>
      </c>
      <c r="AS119" s="123"/>
      <c r="AT119" s="124"/>
      <c r="AU119" s="122"/>
      <c r="AV119" s="117"/>
      <c r="AW119" s="123"/>
      <c r="AX119" s="124"/>
      <c r="AY119" s="122"/>
      <c r="AZ119" s="117"/>
      <c r="BA119" s="123"/>
      <c r="BB119" s="124"/>
      <c r="BC119" s="122"/>
      <c r="BD119" s="123"/>
      <c r="BE119" s="123"/>
      <c r="BF119" s="124"/>
    </row>
    <row r="120" spans="2:70" ht="15" customHeight="1" x14ac:dyDescent="0.3">
      <c r="B120" s="731"/>
      <c r="C120" s="543"/>
      <c r="D120" s="695" t="s">
        <v>242</v>
      </c>
      <c r="E120" s="705" t="s">
        <v>17</v>
      </c>
      <c r="F120" s="706"/>
      <c r="G120" s="211" t="s">
        <v>1</v>
      </c>
      <c r="H120" s="212" t="s">
        <v>10</v>
      </c>
      <c r="I120" s="213">
        <v>14</v>
      </c>
      <c r="J120" s="214">
        <v>7</v>
      </c>
      <c r="K120" s="147"/>
      <c r="L120" s="148"/>
      <c r="M120" s="117"/>
      <c r="N120" s="149"/>
      <c r="O120" s="150"/>
      <c r="P120" s="148"/>
      <c r="Q120" s="156">
        <f t="shared" ref="Q120" si="65">IF(ISNUMBER(FIND(O$13,$G120)),$I120,IF(ISNUMBER(FIND(O$13,$H120)),$J120,""))</f>
        <v>14</v>
      </c>
      <c r="R120" s="149"/>
      <c r="S120" s="150"/>
      <c r="T120" s="148"/>
      <c r="U120" s="117"/>
      <c r="V120" s="149"/>
      <c r="W120" s="150"/>
      <c r="X120" s="148"/>
      <c r="Y120" s="117"/>
      <c r="Z120" s="149"/>
      <c r="AA120" s="150"/>
      <c r="AB120" s="148"/>
      <c r="AC120" s="117"/>
      <c r="AD120" s="149"/>
      <c r="AE120" s="150"/>
      <c r="AF120" s="148"/>
      <c r="AG120" s="117"/>
      <c r="AH120" s="149"/>
      <c r="AI120" s="150"/>
      <c r="AJ120" s="148"/>
      <c r="AK120" s="117"/>
      <c r="AL120" s="149"/>
      <c r="AM120" s="150"/>
      <c r="AN120" s="148"/>
      <c r="AO120" s="117"/>
      <c r="AP120" s="149"/>
      <c r="AQ120" s="150"/>
      <c r="AR120" s="148"/>
      <c r="AS120" s="117"/>
      <c r="AT120" s="149"/>
      <c r="AU120" s="150"/>
      <c r="AV120" s="148"/>
      <c r="AW120" s="117"/>
      <c r="AX120" s="149"/>
      <c r="AY120" s="150"/>
      <c r="AZ120" s="148"/>
      <c r="BA120" s="156">
        <f t="shared" ref="BA120:BA123" si="66">IF(ISNUMBER(FIND(AY$13,$G120)),$I120,IF(ISNUMBER(FIND(AY$13,$H120)),$J120,""))</f>
        <v>7</v>
      </c>
      <c r="BB120" s="149"/>
      <c r="BC120" s="150"/>
      <c r="BD120" s="148"/>
      <c r="BE120" s="114"/>
      <c r="BF120" s="149"/>
      <c r="BH120">
        <v>9</v>
      </c>
      <c r="BI120" t="s">
        <v>35</v>
      </c>
      <c r="BL120" t="s">
        <v>40</v>
      </c>
      <c r="BN120" t="s">
        <v>50</v>
      </c>
      <c r="BP120" s="8" t="s">
        <v>58</v>
      </c>
      <c r="BR120" t="s">
        <v>65</v>
      </c>
    </row>
    <row r="121" spans="2:70" x14ac:dyDescent="0.3">
      <c r="B121" s="731"/>
      <c r="C121" s="543"/>
      <c r="D121" s="696"/>
      <c r="E121" s="697" t="s">
        <v>18</v>
      </c>
      <c r="F121" s="698"/>
      <c r="G121" s="215" t="s">
        <v>3</v>
      </c>
      <c r="H121" s="216" t="s">
        <v>9</v>
      </c>
      <c r="I121" s="213">
        <v>14</v>
      </c>
      <c r="J121" s="217">
        <v>2</v>
      </c>
      <c r="K121" s="152"/>
      <c r="L121" s="153"/>
      <c r="M121" s="117"/>
      <c r="N121" s="154"/>
      <c r="O121" s="155"/>
      <c r="P121" s="153"/>
      <c r="Q121" s="117"/>
      <c r="R121" s="154"/>
      <c r="S121" s="155"/>
      <c r="T121" s="153"/>
      <c r="U121" s="117"/>
      <c r="V121" s="154"/>
      <c r="W121" s="155"/>
      <c r="X121" s="153"/>
      <c r="Y121" s="156">
        <f t="shared" ref="Y121" si="67">IF(ISNUMBER(FIND(W$13,$G121)),$I121,IF(ISNUMBER(FIND(W$13,$H121)),$J121,""))</f>
        <v>14</v>
      </c>
      <c r="Z121" s="154"/>
      <c r="AA121" s="155"/>
      <c r="AB121" s="153"/>
      <c r="AC121" s="117"/>
      <c r="AD121" s="154"/>
      <c r="AE121" s="155"/>
      <c r="AF121" s="153"/>
      <c r="AG121" s="117"/>
      <c r="AH121" s="154"/>
      <c r="AI121" s="155"/>
      <c r="AJ121" s="153"/>
      <c r="AK121" s="117"/>
      <c r="AL121" s="154"/>
      <c r="AM121" s="155"/>
      <c r="AN121" s="153"/>
      <c r="AO121" s="117"/>
      <c r="AP121" s="154"/>
      <c r="AQ121" s="155"/>
      <c r="AR121" s="153"/>
      <c r="AS121" s="117"/>
      <c r="AT121" s="154"/>
      <c r="AU121" s="155"/>
      <c r="AV121" s="153"/>
      <c r="AW121" s="156">
        <f t="shared" ref="AW121:AW122" si="68">IF(ISNUMBER(FIND(AU$13,$G121)),$I121,IF(ISNUMBER(FIND(AU$13,$H121)),$J121,""))</f>
        <v>2</v>
      </c>
      <c r="AX121" s="154"/>
      <c r="AY121" s="155"/>
      <c r="AZ121" s="153"/>
      <c r="BA121" s="117"/>
      <c r="BB121" s="154"/>
      <c r="BC121" s="155"/>
      <c r="BD121" s="153"/>
      <c r="BE121" s="117"/>
      <c r="BF121" s="154"/>
      <c r="BH121">
        <v>4</v>
      </c>
      <c r="BI121" t="s">
        <v>30</v>
      </c>
      <c r="BL121" t="s">
        <v>41</v>
      </c>
      <c r="BN121" t="s">
        <v>51</v>
      </c>
      <c r="BP121" t="s">
        <v>59</v>
      </c>
      <c r="BR121" t="s">
        <v>66</v>
      </c>
    </row>
    <row r="122" spans="2:70" x14ac:dyDescent="0.3">
      <c r="B122" s="731"/>
      <c r="C122" s="543"/>
      <c r="D122" s="696"/>
      <c r="E122" s="697" t="s">
        <v>19</v>
      </c>
      <c r="F122" s="698"/>
      <c r="G122" s="215" t="s">
        <v>8</v>
      </c>
      <c r="H122" s="216" t="s">
        <v>9</v>
      </c>
      <c r="I122" s="213">
        <v>14</v>
      </c>
      <c r="J122" s="217">
        <v>10</v>
      </c>
      <c r="K122" s="152"/>
      <c r="L122" s="153"/>
      <c r="M122" s="117"/>
      <c r="N122" s="154"/>
      <c r="O122" s="155"/>
      <c r="P122" s="153"/>
      <c r="Q122" s="117"/>
      <c r="R122" s="154"/>
      <c r="S122" s="155"/>
      <c r="T122" s="153"/>
      <c r="U122" s="117"/>
      <c r="V122" s="154"/>
      <c r="W122" s="155"/>
      <c r="X122" s="153"/>
      <c r="Y122" s="117"/>
      <c r="Z122" s="154"/>
      <c r="AA122" s="155"/>
      <c r="AB122" s="153"/>
      <c r="AC122" s="117"/>
      <c r="AD122" s="154"/>
      <c r="AE122" s="155"/>
      <c r="AF122" s="153"/>
      <c r="AG122" s="117"/>
      <c r="AH122" s="154"/>
      <c r="AI122" s="155"/>
      <c r="AJ122" s="153"/>
      <c r="AK122" s="117"/>
      <c r="AL122" s="154"/>
      <c r="AM122" s="155"/>
      <c r="AN122" s="153"/>
      <c r="AO122" s="117"/>
      <c r="AP122" s="154"/>
      <c r="AQ122" s="155"/>
      <c r="AR122" s="153"/>
      <c r="AS122" s="156">
        <f t="shared" ref="AS122" si="69">IF(ISNUMBER(FIND(AQ$13,$G122)),$I122,IF(ISNUMBER(FIND(AQ$13,$H122)),$J122,""))</f>
        <v>14</v>
      </c>
      <c r="AT122" s="154"/>
      <c r="AU122" s="155"/>
      <c r="AV122" s="153"/>
      <c r="AW122" s="156">
        <f t="shared" si="68"/>
        <v>10</v>
      </c>
      <c r="AX122" s="154"/>
      <c r="AY122" s="155"/>
      <c r="AZ122" s="153"/>
      <c r="BA122" s="117"/>
      <c r="BB122" s="154"/>
      <c r="BC122" s="155"/>
      <c r="BD122" s="153"/>
      <c r="BE122" s="117"/>
      <c r="BF122" s="154"/>
      <c r="BH122">
        <f>BH120*BH121</f>
        <v>36</v>
      </c>
      <c r="BI122" t="s">
        <v>32</v>
      </c>
      <c r="BL122" t="s">
        <v>42</v>
      </c>
      <c r="BN122" t="s">
        <v>55</v>
      </c>
      <c r="BP122" t="s">
        <v>60</v>
      </c>
      <c r="BR122" t="s">
        <v>67</v>
      </c>
    </row>
    <row r="123" spans="2:70" x14ac:dyDescent="0.3">
      <c r="B123" s="731"/>
      <c r="C123" s="543"/>
      <c r="D123" s="696"/>
      <c r="E123" s="697" t="s">
        <v>20</v>
      </c>
      <c r="F123" s="698"/>
      <c r="G123" s="215" t="s">
        <v>5</v>
      </c>
      <c r="H123" s="216" t="s">
        <v>10</v>
      </c>
      <c r="I123" s="213">
        <v>14</v>
      </c>
      <c r="J123" s="217">
        <v>6</v>
      </c>
      <c r="K123" s="152"/>
      <c r="L123" s="153"/>
      <c r="M123" s="117"/>
      <c r="N123" s="154"/>
      <c r="O123" s="155"/>
      <c r="P123" s="153"/>
      <c r="Q123" s="117"/>
      <c r="R123" s="154"/>
      <c r="S123" s="155"/>
      <c r="T123" s="153"/>
      <c r="U123" s="117"/>
      <c r="V123" s="154"/>
      <c r="W123" s="155"/>
      <c r="X123" s="153"/>
      <c r="Y123" s="117"/>
      <c r="Z123" s="154"/>
      <c r="AA123" s="155"/>
      <c r="AB123" s="153"/>
      <c r="AC123" s="117"/>
      <c r="AD123" s="154"/>
      <c r="AE123" s="155"/>
      <c r="AF123" s="153"/>
      <c r="AG123" s="156">
        <f t="shared" ref="AG123" si="70">IF(ISNUMBER(FIND(AE$13,$G123)),$I123,IF(ISNUMBER(FIND(AE$13,$H123)),$J123,""))</f>
        <v>14</v>
      </c>
      <c r="AH123" s="154"/>
      <c r="AI123" s="155"/>
      <c r="AJ123" s="153"/>
      <c r="AK123" s="117"/>
      <c r="AL123" s="154"/>
      <c r="AM123" s="155"/>
      <c r="AN123" s="153"/>
      <c r="AO123" s="117"/>
      <c r="AP123" s="154"/>
      <c r="AQ123" s="155"/>
      <c r="AR123" s="153"/>
      <c r="AS123" s="117"/>
      <c r="AT123" s="154"/>
      <c r="AU123" s="155"/>
      <c r="AV123" s="153"/>
      <c r="AW123" s="117"/>
      <c r="AX123" s="154"/>
      <c r="AY123" s="155"/>
      <c r="AZ123" s="153"/>
      <c r="BA123" s="156">
        <f t="shared" si="66"/>
        <v>6</v>
      </c>
      <c r="BB123" s="154"/>
      <c r="BC123" s="155"/>
      <c r="BD123" s="153"/>
      <c r="BE123" s="117"/>
      <c r="BF123" s="154"/>
    </row>
    <row r="124" spans="2:70" x14ac:dyDescent="0.3">
      <c r="B124" s="731"/>
      <c r="C124" s="543"/>
      <c r="D124" s="696"/>
      <c r="E124" s="697" t="s">
        <v>21</v>
      </c>
      <c r="F124" s="698"/>
      <c r="G124" s="215" t="s">
        <v>3</v>
      </c>
      <c r="H124" s="216" t="s">
        <v>8</v>
      </c>
      <c r="I124" s="213">
        <v>14</v>
      </c>
      <c r="J124" s="217">
        <v>8</v>
      </c>
      <c r="K124" s="152"/>
      <c r="L124" s="153"/>
      <c r="M124" s="117"/>
      <c r="N124" s="154"/>
      <c r="O124" s="155"/>
      <c r="P124" s="153"/>
      <c r="Q124" s="117"/>
      <c r="R124" s="154"/>
      <c r="S124" s="155"/>
      <c r="T124" s="153"/>
      <c r="U124" s="117"/>
      <c r="V124" s="154"/>
      <c r="W124" s="155"/>
      <c r="X124" s="153"/>
      <c r="Y124" s="156">
        <f>IF(ISNUMBER(FIND(W$13,$G124)),$I124,IF(ISNUMBER(FIND(W$13,$H124)),$J124,""))</f>
        <v>14</v>
      </c>
      <c r="Z124" s="154"/>
      <c r="AA124" s="155"/>
      <c r="AB124" s="153"/>
      <c r="AC124" s="117"/>
      <c r="AD124" s="154"/>
      <c r="AE124" s="155"/>
      <c r="AF124" s="153"/>
      <c r="AG124" s="117"/>
      <c r="AH124" s="154"/>
      <c r="AI124" s="155"/>
      <c r="AJ124" s="153"/>
      <c r="AK124" s="117"/>
      <c r="AL124" s="154"/>
      <c r="AM124" s="155"/>
      <c r="AN124" s="153"/>
      <c r="AO124" s="117"/>
      <c r="AP124" s="154"/>
      <c r="AQ124" s="155"/>
      <c r="AR124" s="153"/>
      <c r="AS124" s="156">
        <f>IF(ISNUMBER(FIND(AQ$13,$G124)),$I124,IF(ISNUMBER(FIND(AQ$13,$H124)),$J124,""))</f>
        <v>8</v>
      </c>
      <c r="AT124" s="154"/>
      <c r="AU124" s="155"/>
      <c r="AV124" s="153"/>
      <c r="AW124" s="117"/>
      <c r="AX124" s="154"/>
      <c r="AY124" s="155"/>
      <c r="AZ124" s="153"/>
      <c r="BA124" s="117"/>
      <c r="BB124" s="154"/>
      <c r="BC124" s="155"/>
      <c r="BD124" s="153"/>
      <c r="BE124" s="117"/>
      <c r="BF124" s="154"/>
    </row>
    <row r="125" spans="2:70" x14ac:dyDescent="0.3">
      <c r="B125" s="731"/>
      <c r="C125" s="543"/>
      <c r="D125" s="696"/>
      <c r="E125" s="697" t="s">
        <v>22</v>
      </c>
      <c r="F125" s="698"/>
      <c r="G125" s="215" t="s">
        <v>4</v>
      </c>
      <c r="H125" s="216" t="s">
        <v>11</v>
      </c>
      <c r="I125" s="213">
        <v>14</v>
      </c>
      <c r="J125" s="217">
        <v>8</v>
      </c>
      <c r="K125" s="152"/>
      <c r="L125" s="153"/>
      <c r="M125" s="117"/>
      <c r="N125" s="154"/>
      <c r="O125" s="155"/>
      <c r="P125" s="153"/>
      <c r="Q125" s="117"/>
      <c r="R125" s="154"/>
      <c r="S125" s="155"/>
      <c r="T125" s="153"/>
      <c r="U125" s="117"/>
      <c r="V125" s="154"/>
      <c r="W125" s="155"/>
      <c r="X125" s="153"/>
      <c r="Y125" s="117"/>
      <c r="Z125" s="154"/>
      <c r="AA125" s="155"/>
      <c r="AB125" s="153"/>
      <c r="AC125" s="156">
        <f t="shared" ref="AC125" si="71">IF(ISNUMBER(FIND(AA$13,$G125)),$I125,IF(ISNUMBER(FIND(AA$13,$H125)),$J125,""))</f>
        <v>14</v>
      </c>
      <c r="AD125" s="154"/>
      <c r="AE125" s="155"/>
      <c r="AF125" s="153"/>
      <c r="AG125" s="117"/>
      <c r="AH125" s="154"/>
      <c r="AI125" s="155"/>
      <c r="AJ125" s="153"/>
      <c r="AK125" s="117"/>
      <c r="AL125" s="154"/>
      <c r="AM125" s="155"/>
      <c r="AN125" s="153"/>
      <c r="AO125" s="117"/>
      <c r="AP125" s="154"/>
      <c r="AQ125" s="155"/>
      <c r="AR125" s="153"/>
      <c r="AS125" s="117"/>
      <c r="AT125" s="154"/>
      <c r="AU125" s="155"/>
      <c r="AV125" s="153"/>
      <c r="AW125" s="117"/>
      <c r="AX125" s="154"/>
      <c r="AY125" s="155"/>
      <c r="AZ125" s="153"/>
      <c r="BA125" s="117"/>
      <c r="BB125" s="154"/>
      <c r="BC125" s="155"/>
      <c r="BD125" s="153"/>
      <c r="BE125" s="156">
        <f t="shared" ref="BE125" si="72">IF(ISNUMBER(FIND(BC$13,$G125)),$I125,IF(ISNUMBER(FIND(BC$13,$H125)),$J125,""))</f>
        <v>8</v>
      </c>
      <c r="BF125" s="154"/>
    </row>
    <row r="126" spans="2:70" x14ac:dyDescent="0.3">
      <c r="B126" s="731"/>
      <c r="C126" s="543"/>
      <c r="D126" s="696"/>
      <c r="E126" s="697" t="s">
        <v>23</v>
      </c>
      <c r="F126" s="698"/>
      <c r="G126" s="215" t="s">
        <v>0</v>
      </c>
      <c r="H126" s="216" t="s">
        <v>2</v>
      </c>
      <c r="I126" s="213">
        <v>4</v>
      </c>
      <c r="J126" s="217">
        <v>14</v>
      </c>
      <c r="K126" s="152"/>
      <c r="L126" s="153"/>
      <c r="M126" s="156">
        <f t="shared" ref="M126" si="73">IF(ISNUMBER(FIND(K$13,$G126)),$I126,IF(ISNUMBER(FIND(K$13,$H126)),$J126,""))</f>
        <v>4</v>
      </c>
      <c r="N126" s="154"/>
      <c r="O126" s="155"/>
      <c r="P126" s="153"/>
      <c r="Q126" s="117"/>
      <c r="R126" s="154"/>
      <c r="S126" s="155"/>
      <c r="T126" s="153"/>
      <c r="U126" s="156">
        <f t="shared" ref="U126" si="74">IF(ISNUMBER(FIND(S$13,$G126)),$I126,IF(ISNUMBER(FIND(S$13,$H126)),$J126,""))</f>
        <v>14</v>
      </c>
      <c r="V126" s="154"/>
      <c r="W126" s="155"/>
      <c r="X126" s="153"/>
      <c r="Y126" s="117"/>
      <c r="Z126" s="154"/>
      <c r="AA126" s="155"/>
      <c r="AB126" s="153"/>
      <c r="AC126" s="117"/>
      <c r="AD126" s="154"/>
      <c r="AE126" s="155"/>
      <c r="AF126" s="153"/>
      <c r="AG126" s="117"/>
      <c r="AH126" s="154"/>
      <c r="AI126" s="155"/>
      <c r="AJ126" s="153"/>
      <c r="AK126" s="117"/>
      <c r="AL126" s="154"/>
      <c r="AM126" s="155"/>
      <c r="AN126" s="153"/>
      <c r="AO126" s="117"/>
      <c r="AP126" s="154"/>
      <c r="AQ126" s="155"/>
      <c r="AR126" s="153"/>
      <c r="AS126" s="117"/>
      <c r="AT126" s="154"/>
      <c r="AU126" s="155"/>
      <c r="AV126" s="153"/>
      <c r="AW126" s="117"/>
      <c r="AX126" s="154"/>
      <c r="AY126" s="155"/>
      <c r="AZ126" s="153"/>
      <c r="BA126" s="117"/>
      <c r="BB126" s="154"/>
      <c r="BC126" s="155"/>
      <c r="BD126" s="153"/>
      <c r="BE126" s="117"/>
      <c r="BF126" s="154"/>
    </row>
    <row r="127" spans="2:70" ht="14.5" thickBot="1" x14ac:dyDescent="0.35">
      <c r="B127" s="731"/>
      <c r="C127" s="543"/>
      <c r="D127" s="696"/>
      <c r="E127" s="697" t="s">
        <v>24</v>
      </c>
      <c r="F127" s="698"/>
      <c r="G127" s="218" t="s">
        <v>6</v>
      </c>
      <c r="H127" s="219" t="s">
        <v>7</v>
      </c>
      <c r="I127" s="220">
        <v>14</v>
      </c>
      <c r="J127" s="221">
        <v>12</v>
      </c>
      <c r="K127" s="157"/>
      <c r="L127" s="158"/>
      <c r="M127" s="123"/>
      <c r="N127" s="143"/>
      <c r="O127" s="159"/>
      <c r="P127" s="158"/>
      <c r="Q127" s="123"/>
      <c r="R127" s="143"/>
      <c r="S127" s="159"/>
      <c r="T127" s="158"/>
      <c r="U127" s="123"/>
      <c r="V127" s="143"/>
      <c r="W127" s="159"/>
      <c r="X127" s="158"/>
      <c r="Y127" s="123"/>
      <c r="Z127" s="143"/>
      <c r="AA127" s="159"/>
      <c r="AB127" s="158"/>
      <c r="AC127" s="123"/>
      <c r="AD127" s="143"/>
      <c r="AE127" s="159"/>
      <c r="AF127" s="158"/>
      <c r="AG127" s="123"/>
      <c r="AH127" s="143"/>
      <c r="AI127" s="159"/>
      <c r="AJ127" s="158"/>
      <c r="AK127" s="160">
        <f t="shared" ref="AK127" si="75">IF(ISNUMBER(FIND(AI$13,$G127)),$I127,IF(ISNUMBER(FIND(AI$13,$H127)),$J127,""))</f>
        <v>14</v>
      </c>
      <c r="AL127" s="143"/>
      <c r="AM127" s="159"/>
      <c r="AN127" s="158"/>
      <c r="AO127" s="160">
        <f t="shared" ref="AO127" si="76">IF(ISNUMBER(FIND(AM$13,$G127)),$I127,IF(ISNUMBER(FIND(AM$13,$H127)),$J127,""))</f>
        <v>12</v>
      </c>
      <c r="AP127" s="143"/>
      <c r="AQ127" s="159"/>
      <c r="AR127" s="158"/>
      <c r="AS127" s="123"/>
      <c r="AT127" s="143"/>
      <c r="AU127" s="159"/>
      <c r="AV127" s="158"/>
      <c r="AW127" s="123"/>
      <c r="AX127" s="143"/>
      <c r="AY127" s="159"/>
      <c r="AZ127" s="158"/>
      <c r="BA127" s="123"/>
      <c r="BB127" s="143"/>
      <c r="BC127" s="159"/>
      <c r="BD127" s="158"/>
      <c r="BE127" s="123"/>
      <c r="BF127" s="143"/>
    </row>
    <row r="128" spans="2:70" ht="15" customHeight="1" x14ac:dyDescent="0.3">
      <c r="B128" s="731"/>
      <c r="C128" s="543"/>
      <c r="D128" s="746" t="s">
        <v>317</v>
      </c>
      <c r="E128" s="748" t="s">
        <v>17</v>
      </c>
      <c r="F128" s="749"/>
      <c r="G128" s="222" t="s">
        <v>3</v>
      </c>
      <c r="H128" s="223" t="s">
        <v>6</v>
      </c>
      <c r="I128" s="224">
        <v>7</v>
      </c>
      <c r="J128" s="224">
        <v>4</v>
      </c>
      <c r="K128" s="128"/>
      <c r="L128" s="129"/>
      <c r="M128" s="117"/>
      <c r="N128" s="154"/>
      <c r="O128" s="128"/>
      <c r="P128" s="129"/>
      <c r="Q128" s="117"/>
      <c r="R128" s="154"/>
      <c r="S128" s="128"/>
      <c r="T128" s="129"/>
      <c r="U128" s="117"/>
      <c r="V128" s="154"/>
      <c r="W128" s="128"/>
      <c r="X128" s="129"/>
      <c r="Y128" s="117"/>
      <c r="Z128" s="161">
        <f>IF(ISNUMBER(FIND(W$13,$G128)),$I128,IF(ISNUMBER(FIND(W$13,$H128)),$J128,""))</f>
        <v>7</v>
      </c>
      <c r="AA128" s="128"/>
      <c r="AB128" s="129"/>
      <c r="AC128" s="117"/>
      <c r="AD128" s="154"/>
      <c r="AE128" s="128"/>
      <c r="AF128" s="129"/>
      <c r="AG128" s="117"/>
      <c r="AH128" s="154"/>
      <c r="AI128" s="128"/>
      <c r="AJ128" s="129"/>
      <c r="AK128" s="129"/>
      <c r="AL128" s="161">
        <f>IF(ISNUMBER(FIND(AI$13,$G128)),$I128,IF(ISNUMBER(FIND(AI$13,$H128)),$J128,""))</f>
        <v>4</v>
      </c>
      <c r="AM128" s="128"/>
      <c r="AN128" s="129"/>
      <c r="AO128" s="129"/>
      <c r="AP128" s="154"/>
      <c r="AQ128" s="128"/>
      <c r="AR128" s="129"/>
      <c r="AS128" s="117"/>
      <c r="AT128" s="154"/>
      <c r="AU128" s="128"/>
      <c r="AV128" s="129"/>
      <c r="AW128" s="117"/>
      <c r="AX128" s="154"/>
      <c r="AY128" s="128"/>
      <c r="AZ128" s="129"/>
      <c r="BA128" s="117"/>
      <c r="BB128" s="154"/>
      <c r="BC128" s="128"/>
      <c r="BD128" s="129"/>
      <c r="BE128" s="129"/>
      <c r="BF128" s="149"/>
      <c r="BH128">
        <v>9</v>
      </c>
      <c r="BI128" t="s">
        <v>35</v>
      </c>
      <c r="BL128" t="s">
        <v>40</v>
      </c>
      <c r="BN128" t="s">
        <v>50</v>
      </c>
      <c r="BP128" s="8" t="s">
        <v>58</v>
      </c>
      <c r="BR128" t="s">
        <v>65</v>
      </c>
    </row>
    <row r="129" spans="2:70" x14ac:dyDescent="0.3">
      <c r="B129" s="731"/>
      <c r="C129" s="543"/>
      <c r="D129" s="747"/>
      <c r="E129" s="699" t="s">
        <v>18</v>
      </c>
      <c r="F129" s="700"/>
      <c r="G129" s="225" t="s">
        <v>4</v>
      </c>
      <c r="H129" s="226" t="s">
        <v>8</v>
      </c>
      <c r="I129" s="227">
        <v>4</v>
      </c>
      <c r="J129" s="227">
        <v>7</v>
      </c>
      <c r="K129" s="116"/>
      <c r="L129" s="117"/>
      <c r="M129" s="117"/>
      <c r="N129" s="154"/>
      <c r="O129" s="116"/>
      <c r="P129" s="117"/>
      <c r="Q129" s="117"/>
      <c r="R129" s="154"/>
      <c r="S129" s="116"/>
      <c r="T129" s="117"/>
      <c r="U129" s="117"/>
      <c r="V129" s="154"/>
      <c r="W129" s="116"/>
      <c r="X129" s="117"/>
      <c r="Y129" s="117"/>
      <c r="Z129" s="154"/>
      <c r="AA129" s="116"/>
      <c r="AB129" s="117"/>
      <c r="AC129" s="117"/>
      <c r="AD129" s="161">
        <f t="shared" ref="AD129" si="77">IF(ISNUMBER(FIND(AA$13,$G129)),$I129,IF(ISNUMBER(FIND(AA$13,$H129)),$J129,""))</f>
        <v>4</v>
      </c>
      <c r="AE129" s="116"/>
      <c r="AF129" s="117"/>
      <c r="AG129" s="117"/>
      <c r="AH129" s="154"/>
      <c r="AI129" s="116"/>
      <c r="AJ129" s="117"/>
      <c r="AK129" s="117"/>
      <c r="AL129" s="154"/>
      <c r="AM129" s="116"/>
      <c r="AN129" s="117"/>
      <c r="AO129" s="117"/>
      <c r="AP129" s="154"/>
      <c r="AQ129" s="116"/>
      <c r="AR129" s="117"/>
      <c r="AS129" s="117"/>
      <c r="AT129" s="161">
        <f t="shared" ref="AT129:AT131" si="78">IF(ISNUMBER(FIND(AQ$13,$G129)),$I129,IF(ISNUMBER(FIND(AQ$13,$H129)),$J129,""))</f>
        <v>7</v>
      </c>
      <c r="AU129" s="116"/>
      <c r="AV129" s="117"/>
      <c r="AW129" s="117"/>
      <c r="AX129" s="154"/>
      <c r="AY129" s="116"/>
      <c r="AZ129" s="117"/>
      <c r="BA129" s="117"/>
      <c r="BB129" s="154"/>
      <c r="BC129" s="116"/>
      <c r="BD129" s="117"/>
      <c r="BE129" s="117"/>
      <c r="BF129" s="453"/>
      <c r="BH129">
        <v>4</v>
      </c>
      <c r="BI129" t="s">
        <v>30</v>
      </c>
      <c r="BL129" t="s">
        <v>41</v>
      </c>
      <c r="BN129" t="s">
        <v>51</v>
      </c>
      <c r="BP129" t="s">
        <v>59</v>
      </c>
      <c r="BR129" t="s">
        <v>66</v>
      </c>
    </row>
    <row r="130" spans="2:70" x14ac:dyDescent="0.3">
      <c r="B130" s="731"/>
      <c r="C130" s="543"/>
      <c r="D130" s="747"/>
      <c r="E130" s="699" t="s">
        <v>19</v>
      </c>
      <c r="F130" s="700"/>
      <c r="G130" s="225" t="s">
        <v>0</v>
      </c>
      <c r="H130" s="226" t="s">
        <v>5</v>
      </c>
      <c r="I130" s="227">
        <v>2</v>
      </c>
      <c r="J130" s="227">
        <v>7</v>
      </c>
      <c r="K130" s="116"/>
      <c r="L130" s="117"/>
      <c r="M130" s="117"/>
      <c r="N130" s="161">
        <f t="shared" ref="N130" si="79">IF(ISNUMBER(FIND(K$13,$G130)),$I130,IF(ISNUMBER(FIND(K$13,$H130)),$J130,""))</f>
        <v>2</v>
      </c>
      <c r="O130" s="116"/>
      <c r="P130" s="117"/>
      <c r="Q130" s="117"/>
      <c r="R130" s="154"/>
      <c r="S130" s="116"/>
      <c r="T130" s="117"/>
      <c r="U130" s="117"/>
      <c r="V130" s="154"/>
      <c r="W130" s="116"/>
      <c r="X130" s="117"/>
      <c r="Y130" s="117"/>
      <c r="Z130" s="154"/>
      <c r="AA130" s="116"/>
      <c r="AB130" s="117"/>
      <c r="AC130" s="117"/>
      <c r="AD130" s="154"/>
      <c r="AE130" s="116"/>
      <c r="AF130" s="117"/>
      <c r="AG130" s="117"/>
      <c r="AH130" s="161">
        <f t="shared" ref="AH130:AH135" si="80">IF(ISNUMBER(FIND(AE$13,$G130)),$I130,IF(ISNUMBER(FIND(AE$13,$H130)),$J130,""))</f>
        <v>7</v>
      </c>
      <c r="AI130" s="116"/>
      <c r="AJ130" s="117"/>
      <c r="AK130" s="117"/>
      <c r="AL130" s="154"/>
      <c r="AM130" s="116"/>
      <c r="AN130" s="117"/>
      <c r="AO130" s="117"/>
      <c r="AP130" s="154"/>
      <c r="AQ130" s="116"/>
      <c r="AR130" s="117"/>
      <c r="AS130" s="117"/>
      <c r="AT130" s="154"/>
      <c r="AU130" s="116"/>
      <c r="AV130" s="117"/>
      <c r="AW130" s="117"/>
      <c r="AX130" s="154"/>
      <c r="AY130" s="116"/>
      <c r="AZ130" s="117"/>
      <c r="BA130" s="117"/>
      <c r="BB130" s="154"/>
      <c r="BC130" s="116"/>
      <c r="BD130" s="117"/>
      <c r="BE130" s="117"/>
      <c r="BF130" s="453"/>
      <c r="BH130">
        <f>BH128*BH129</f>
        <v>36</v>
      </c>
      <c r="BI130" t="s">
        <v>32</v>
      </c>
      <c r="BL130" t="s">
        <v>42</v>
      </c>
      <c r="BN130" t="s">
        <v>55</v>
      </c>
      <c r="BP130" t="s">
        <v>60</v>
      </c>
      <c r="BR130" t="s">
        <v>67</v>
      </c>
    </row>
    <row r="131" spans="2:70" x14ac:dyDescent="0.3">
      <c r="B131" s="731"/>
      <c r="C131" s="543"/>
      <c r="D131" s="747"/>
      <c r="E131" s="699" t="s">
        <v>20</v>
      </c>
      <c r="F131" s="700"/>
      <c r="G131" s="225" t="s">
        <v>1</v>
      </c>
      <c r="H131" s="226" t="s">
        <v>8</v>
      </c>
      <c r="I131" s="227">
        <v>4</v>
      </c>
      <c r="J131" s="227">
        <v>7</v>
      </c>
      <c r="K131" s="116"/>
      <c r="L131" s="117"/>
      <c r="M131" s="117"/>
      <c r="N131" s="154"/>
      <c r="O131" s="116"/>
      <c r="P131" s="117"/>
      <c r="Q131" s="117"/>
      <c r="R131" s="161">
        <f t="shared" ref="R131" si="81">IF(ISNUMBER(FIND(O$13,$G131)),$I131,IF(ISNUMBER(FIND(O$13,$H131)),$J131,""))</f>
        <v>4</v>
      </c>
      <c r="S131" s="116"/>
      <c r="T131" s="117"/>
      <c r="U131" s="117"/>
      <c r="V131" s="154"/>
      <c r="W131" s="116"/>
      <c r="X131" s="117"/>
      <c r="Y131" s="117"/>
      <c r="Z131" s="154"/>
      <c r="AA131" s="116"/>
      <c r="AB131" s="117"/>
      <c r="AC131" s="117"/>
      <c r="AD131" s="154"/>
      <c r="AE131" s="116"/>
      <c r="AF131" s="117"/>
      <c r="AG131" s="117"/>
      <c r="AH131" s="154"/>
      <c r="AI131" s="116"/>
      <c r="AJ131" s="117"/>
      <c r="AK131" s="117"/>
      <c r="AL131" s="154"/>
      <c r="AM131" s="116"/>
      <c r="AN131" s="117"/>
      <c r="AO131" s="117"/>
      <c r="AP131" s="154"/>
      <c r="AQ131" s="116"/>
      <c r="AR131" s="117"/>
      <c r="AS131" s="117"/>
      <c r="AT131" s="161">
        <f t="shared" si="78"/>
        <v>7</v>
      </c>
      <c r="AU131" s="116"/>
      <c r="AV131" s="117"/>
      <c r="AW131" s="117"/>
      <c r="AX131" s="154"/>
      <c r="AY131" s="116"/>
      <c r="AZ131" s="117"/>
      <c r="BA131" s="117"/>
      <c r="BB131" s="154"/>
      <c r="BC131" s="116"/>
      <c r="BD131" s="117"/>
      <c r="BE131" s="117"/>
      <c r="BF131" s="453"/>
    </row>
    <row r="132" spans="2:70" x14ac:dyDescent="0.3">
      <c r="B132" s="731"/>
      <c r="C132" s="543"/>
      <c r="D132" s="747"/>
      <c r="E132" s="699" t="s">
        <v>21</v>
      </c>
      <c r="F132" s="700"/>
      <c r="G132" s="225" t="s">
        <v>2</v>
      </c>
      <c r="H132" s="226" t="s">
        <v>9</v>
      </c>
      <c r="I132" s="227">
        <v>6</v>
      </c>
      <c r="J132" s="227">
        <v>7</v>
      </c>
      <c r="K132" s="116"/>
      <c r="L132" s="117"/>
      <c r="M132" s="117"/>
      <c r="N132" s="154"/>
      <c r="O132" s="116"/>
      <c r="P132" s="117"/>
      <c r="Q132" s="117"/>
      <c r="R132" s="154"/>
      <c r="S132" s="116"/>
      <c r="T132" s="117"/>
      <c r="U132" s="117"/>
      <c r="V132" s="161">
        <f t="shared" ref="V132" si="82">IF(ISNUMBER(FIND(S$13,$G132)),$I132,IF(ISNUMBER(FIND(S$13,$H132)),$J132,""))</f>
        <v>6</v>
      </c>
      <c r="W132" s="116"/>
      <c r="X132" s="117"/>
      <c r="Y132" s="117"/>
      <c r="Z132" s="154"/>
      <c r="AA132" s="116"/>
      <c r="AB132" s="117"/>
      <c r="AC132" s="117"/>
      <c r="AD132" s="154"/>
      <c r="AE132" s="116"/>
      <c r="AF132" s="117"/>
      <c r="AG132" s="117"/>
      <c r="AH132" s="154"/>
      <c r="AI132" s="116"/>
      <c r="AJ132" s="117"/>
      <c r="AK132" s="117"/>
      <c r="AL132" s="154"/>
      <c r="AM132" s="116"/>
      <c r="AN132" s="117"/>
      <c r="AO132" s="117"/>
      <c r="AP132" s="154"/>
      <c r="AQ132" s="116"/>
      <c r="AR132" s="117"/>
      <c r="AS132" s="117"/>
      <c r="AT132" s="154"/>
      <c r="AU132" s="116"/>
      <c r="AV132" s="117"/>
      <c r="AW132" s="117"/>
      <c r="AX132" s="161">
        <f t="shared" ref="AX132" si="83">IF(ISNUMBER(FIND(AU$13,$G132)),$I132,IF(ISNUMBER(FIND(AU$13,$H132)),$J132,""))</f>
        <v>7</v>
      </c>
      <c r="AY132" s="116"/>
      <c r="AZ132" s="117"/>
      <c r="BA132" s="117"/>
      <c r="BB132" s="154"/>
      <c r="BC132" s="116"/>
      <c r="BD132" s="117"/>
      <c r="BE132" s="117"/>
      <c r="BF132" s="453"/>
    </row>
    <row r="133" spans="2:70" x14ac:dyDescent="0.3">
      <c r="B133" s="731"/>
      <c r="C133" s="543"/>
      <c r="D133" s="747"/>
      <c r="E133" s="699" t="s">
        <v>22</v>
      </c>
      <c r="F133" s="700"/>
      <c r="G133" s="225" t="s">
        <v>3</v>
      </c>
      <c r="H133" s="226" t="s">
        <v>10</v>
      </c>
      <c r="I133" s="227">
        <v>1</v>
      </c>
      <c r="J133" s="227">
        <v>7</v>
      </c>
      <c r="K133" s="116"/>
      <c r="L133" s="117"/>
      <c r="M133" s="117"/>
      <c r="N133" s="154"/>
      <c r="O133" s="116"/>
      <c r="P133" s="117"/>
      <c r="Q133" s="117"/>
      <c r="R133" s="154"/>
      <c r="S133" s="116"/>
      <c r="T133" s="117"/>
      <c r="U133" s="117"/>
      <c r="V133" s="154"/>
      <c r="W133" s="116"/>
      <c r="X133" s="117"/>
      <c r="Y133" s="117"/>
      <c r="Z133" s="161">
        <f t="shared" ref="Z133" si="84">IF(ISNUMBER(FIND(W$13,$G133)),$I133,IF(ISNUMBER(FIND(W$13,$H133)),$J133,""))</f>
        <v>1</v>
      </c>
      <c r="AA133" s="116"/>
      <c r="AB133" s="117"/>
      <c r="AC133" s="117"/>
      <c r="AD133" s="154"/>
      <c r="AE133" s="116"/>
      <c r="AF133" s="117"/>
      <c r="AG133" s="117"/>
      <c r="AH133" s="154"/>
      <c r="AI133" s="116"/>
      <c r="AJ133" s="117"/>
      <c r="AK133" s="117"/>
      <c r="AL133" s="154"/>
      <c r="AM133" s="116"/>
      <c r="AN133" s="117"/>
      <c r="AO133" s="117"/>
      <c r="AP133" s="154"/>
      <c r="AQ133" s="116"/>
      <c r="AR133" s="117"/>
      <c r="AS133" s="117"/>
      <c r="AT133" s="154"/>
      <c r="AU133" s="116"/>
      <c r="AV133" s="117"/>
      <c r="AW133" s="117"/>
      <c r="AX133" s="154"/>
      <c r="AY133" s="116"/>
      <c r="AZ133" s="117"/>
      <c r="BA133" s="117"/>
      <c r="BB133" s="161">
        <f t="shared" ref="BB133" si="85">IF(ISNUMBER(FIND(AY$13,$G133)),$I133,IF(ISNUMBER(FIND(AY$13,$H133)),$J133,""))</f>
        <v>7</v>
      </c>
      <c r="BC133" s="116"/>
      <c r="BD133" s="117"/>
      <c r="BE133" s="117"/>
      <c r="BF133" s="453"/>
    </row>
    <row r="134" spans="2:70" x14ac:dyDescent="0.3">
      <c r="B134" s="731"/>
      <c r="C134" s="543"/>
      <c r="D134" s="747"/>
      <c r="E134" s="699" t="s">
        <v>23</v>
      </c>
      <c r="F134" s="700"/>
      <c r="G134" s="225" t="s">
        <v>6</v>
      </c>
      <c r="H134" s="226" t="s">
        <v>7</v>
      </c>
      <c r="I134" s="227">
        <v>2</v>
      </c>
      <c r="J134" s="227">
        <v>7</v>
      </c>
      <c r="K134" s="116"/>
      <c r="L134" s="117"/>
      <c r="M134" s="117"/>
      <c r="N134" s="154"/>
      <c r="O134" s="116"/>
      <c r="P134" s="117"/>
      <c r="Q134" s="117"/>
      <c r="R134" s="154"/>
      <c r="S134" s="116"/>
      <c r="T134" s="117"/>
      <c r="U134" s="117"/>
      <c r="V134" s="154"/>
      <c r="W134" s="116"/>
      <c r="X134" s="117"/>
      <c r="Y134" s="117"/>
      <c r="Z134" s="154"/>
      <c r="AA134" s="116"/>
      <c r="AB134" s="117"/>
      <c r="AC134" s="117"/>
      <c r="AD134" s="154"/>
      <c r="AE134" s="116"/>
      <c r="AF134" s="117"/>
      <c r="AG134" s="117"/>
      <c r="AH134" s="154"/>
      <c r="AI134" s="116"/>
      <c r="AJ134" s="117"/>
      <c r="AK134" s="117"/>
      <c r="AL134" s="161">
        <f t="shared" ref="AL134" si="86">IF(ISNUMBER(FIND(AI$13,$G134)),$I134,IF(ISNUMBER(FIND(AI$13,$H134)),$J134,""))</f>
        <v>2</v>
      </c>
      <c r="AM134" s="116"/>
      <c r="AN134" s="117"/>
      <c r="AO134" s="117"/>
      <c r="AP134" s="161">
        <f t="shared" ref="AP134" si="87">IF(ISNUMBER(FIND(AM$13,$G134)),$I134,IF(ISNUMBER(FIND(AM$13,$H134)),$J134,""))</f>
        <v>7</v>
      </c>
      <c r="AQ134" s="116"/>
      <c r="AR134" s="117"/>
      <c r="AS134" s="117"/>
      <c r="AT134" s="154"/>
      <c r="AU134" s="116"/>
      <c r="AV134" s="117"/>
      <c r="AW134" s="117"/>
      <c r="AX134" s="154"/>
      <c r="AY134" s="116"/>
      <c r="AZ134" s="117"/>
      <c r="BA134" s="117"/>
      <c r="BB134" s="154"/>
      <c r="BC134" s="116"/>
      <c r="BD134" s="117"/>
      <c r="BE134" s="117"/>
      <c r="BF134" s="453"/>
    </row>
    <row r="135" spans="2:70" ht="14.5" thickBot="1" x14ac:dyDescent="0.35">
      <c r="B135" s="731"/>
      <c r="C135" s="543"/>
      <c r="D135" s="747"/>
      <c r="E135" s="699" t="s">
        <v>24</v>
      </c>
      <c r="F135" s="700"/>
      <c r="G135" s="228" t="s">
        <v>5</v>
      </c>
      <c r="H135" s="229" t="s">
        <v>11</v>
      </c>
      <c r="I135" s="230">
        <v>7</v>
      </c>
      <c r="J135" s="227">
        <v>6</v>
      </c>
      <c r="K135" s="122"/>
      <c r="L135" s="123"/>
      <c r="M135" s="123"/>
      <c r="N135" s="170"/>
      <c r="O135" s="122"/>
      <c r="P135" s="123"/>
      <c r="Q135" s="123"/>
      <c r="R135" s="170"/>
      <c r="S135" s="122"/>
      <c r="T135" s="123"/>
      <c r="U135" s="123"/>
      <c r="V135" s="170"/>
      <c r="W135" s="122"/>
      <c r="X135" s="123"/>
      <c r="Y135" s="123"/>
      <c r="Z135" s="170"/>
      <c r="AA135" s="122"/>
      <c r="AB135" s="123"/>
      <c r="AC135" s="123"/>
      <c r="AD135" s="170"/>
      <c r="AE135" s="122"/>
      <c r="AF135" s="123"/>
      <c r="AG135" s="123"/>
      <c r="AH135" s="169">
        <f t="shared" si="80"/>
        <v>7</v>
      </c>
      <c r="AI135" s="122"/>
      <c r="AJ135" s="123"/>
      <c r="AK135" s="123"/>
      <c r="AL135" s="170"/>
      <c r="AM135" s="122"/>
      <c r="AN135" s="123"/>
      <c r="AO135" s="123"/>
      <c r="AP135" s="170"/>
      <c r="AQ135" s="122"/>
      <c r="AR135" s="123"/>
      <c r="AS135" s="123"/>
      <c r="AT135" s="170"/>
      <c r="AU135" s="122"/>
      <c r="AV135" s="123"/>
      <c r="AW135" s="123"/>
      <c r="AX135" s="170"/>
      <c r="AY135" s="122"/>
      <c r="AZ135" s="123"/>
      <c r="BA135" s="123"/>
      <c r="BB135" s="170"/>
      <c r="BC135" s="122"/>
      <c r="BD135" s="123"/>
      <c r="BE135" s="123"/>
      <c r="BF135" s="454">
        <f t="shared" ref="BF135" si="88">IF(ISNUMBER(FIND(BC$13,$G135)),$I135,IF(ISNUMBER(FIND(BC$13,$H135)),$J135,""))</f>
        <v>6</v>
      </c>
    </row>
    <row r="136" spans="2:70" ht="14.5" thickBot="1" x14ac:dyDescent="0.35">
      <c r="B136" s="731"/>
      <c r="C136" s="753" t="s">
        <v>241</v>
      </c>
      <c r="D136" s="754"/>
      <c r="E136" s="754"/>
      <c r="F136" s="754"/>
      <c r="G136" s="754"/>
      <c r="H136" s="754"/>
      <c r="I136" s="754"/>
      <c r="J136" s="755"/>
      <c r="K136" s="126">
        <f>SUM(K16:K135)</f>
        <v>21</v>
      </c>
      <c r="L136" s="24">
        <f>SUM(L32:L39)+SUM(L72:L79)+SUM(L112:L119)</f>
        <v>816.74592119072611</v>
      </c>
      <c r="M136" s="127">
        <f>SUM(M16:M135)</f>
        <v>27</v>
      </c>
      <c r="N136" s="184">
        <f>SUM(N48:N55,N88:N95,N128:N135)</f>
        <v>23</v>
      </c>
      <c r="O136" s="240">
        <f>SUM(O16:O135)</f>
        <v>38</v>
      </c>
      <c r="P136" s="241">
        <f>SUM(P32:P39)+SUM(P72:P79)+SUM(P112:P119)</f>
        <v>709.875</v>
      </c>
      <c r="Q136" s="242">
        <f>SUM(Q16:Q135)</f>
        <v>56</v>
      </c>
      <c r="R136" s="243">
        <f>SUM(R48:R55,R88:R95,R128:R135)</f>
        <v>19</v>
      </c>
      <c r="S136" s="240">
        <f>SUM(S16:S135)</f>
        <v>34</v>
      </c>
      <c r="T136" s="241">
        <f>SUM(T32:T39)+SUM(T72:T79)+SUM(T112:T119)</f>
        <v>758.5846153846154</v>
      </c>
      <c r="U136" s="242">
        <f>SUM(U16:U135)</f>
        <v>56</v>
      </c>
      <c r="V136" s="243">
        <f>SUM(V48:V55,V88:V95,V128:V135)</f>
        <v>24</v>
      </c>
      <c r="W136" s="240">
        <f>SUM(W16:W135)</f>
        <v>36</v>
      </c>
      <c r="X136" s="241">
        <f>SUM(X32:X39)+SUM(X72:X79)+SUM(X112:X119)</f>
        <v>806.88508064516122</v>
      </c>
      <c r="Y136" s="242">
        <f>SUM(Y16:Y135)</f>
        <v>47</v>
      </c>
      <c r="Z136" s="243">
        <f>SUM(Z48:Z55,Z88:Z95,Z128:Z135)</f>
        <v>21</v>
      </c>
      <c r="AA136" s="240">
        <f>SUM(AA16:AA135)</f>
        <v>23</v>
      </c>
      <c r="AB136" s="241">
        <f>SUM(AB32:AB39)+SUM(AB72:AB79)+SUM(AB112:AB119)</f>
        <v>824.51612903225805</v>
      </c>
      <c r="AC136" s="242">
        <f>SUM(AC16:AC135)</f>
        <v>42</v>
      </c>
      <c r="AD136" s="243">
        <f>SUM(AD48:AD55,AD88:AD95,AD128:AD135)</f>
        <v>16</v>
      </c>
      <c r="AE136" s="240">
        <f>SUM(AE16:AE135)</f>
        <v>39</v>
      </c>
      <c r="AF136" s="241">
        <f>SUM(AF32:AF39)+SUM(AF72:AF79)+SUM(AF112:AF119)</f>
        <v>840</v>
      </c>
      <c r="AG136" s="242">
        <f>SUM(AG16:AG135)</f>
        <v>43</v>
      </c>
      <c r="AH136" s="243">
        <f>SUM(AH48:AH55,AH88:AH95,AH128:AH135)</f>
        <v>23</v>
      </c>
      <c r="AI136" s="240">
        <f>SUM(AI16:AI135)</f>
        <v>37</v>
      </c>
      <c r="AJ136" s="241">
        <f>SUM(AJ32:AJ39)+SUM(AJ72:AJ79)+SUM(AJ112:AJ119)</f>
        <v>782.35323453975491</v>
      </c>
      <c r="AK136" s="242">
        <f>SUM(AK16:AK135)</f>
        <v>34</v>
      </c>
      <c r="AL136" s="243">
        <f>SUM(AL48:AL55,AL88:AL95,AL128:AL135)</f>
        <v>19</v>
      </c>
      <c r="AM136" s="240">
        <f>SUM(AM16:AM135)</f>
        <v>28</v>
      </c>
      <c r="AN136" s="241">
        <f>SUM(AN32:AN39)+SUM(AN72:AN79)+SUM(AN112:AN119)</f>
        <v>683.79449691259504</v>
      </c>
      <c r="AO136" s="242">
        <f>SUM(AO16:AO135)</f>
        <v>54</v>
      </c>
      <c r="AP136" s="243">
        <f>SUM(AP48:AP55,AP88:AP95,AP128:AP135)</f>
        <v>27</v>
      </c>
      <c r="AQ136" s="240">
        <f>SUM(AQ16:AQ135)</f>
        <v>27</v>
      </c>
      <c r="AR136" s="241">
        <f>SUM(AR32:AR39)+SUM(AR72:AR79)+SUM(AR112:AR119)</f>
        <v>697.90181759169104</v>
      </c>
      <c r="AS136" s="242">
        <f>SUM(AS16:AS135)</f>
        <v>47</v>
      </c>
      <c r="AT136" s="243">
        <f>SUM(AT48:AT55,AT88:AT95,AT128:AT135)</f>
        <v>23</v>
      </c>
      <c r="AU136" s="240">
        <f>SUM(AU16:AU135)</f>
        <v>27</v>
      </c>
      <c r="AV136" s="241">
        <f>SUM(AV32:AV39)+SUM(AV72:AV79)+SUM(AV112:AV119)</f>
        <v>729.52606635071083</v>
      </c>
      <c r="AW136" s="242">
        <f>SUM(AW16:AW135)</f>
        <v>18</v>
      </c>
      <c r="AX136" s="243">
        <f>SUM(AX48:AX55,AX88:AX95,AX128:AX135)</f>
        <v>26</v>
      </c>
      <c r="AY136" s="240">
        <f>SUM(AY16:AY135)</f>
        <v>26</v>
      </c>
      <c r="AZ136" s="241">
        <f>SUM(AZ32:AZ39)+SUM(AZ72:AZ79)+SUM(AZ112:AZ119)</f>
        <v>690.3112990471941</v>
      </c>
      <c r="BA136" s="242">
        <f>SUM(BA16:BA135)</f>
        <v>35</v>
      </c>
      <c r="BB136" s="243">
        <f>SUM(BB48:BB55,BB88:BB95,BB128:BB135)</f>
        <v>26</v>
      </c>
      <c r="BC136" s="240">
        <f>SUM(BC16:BC135)</f>
        <v>22</v>
      </c>
      <c r="BD136" s="241">
        <f>SUM(BD32:BD39)+SUM(BD72:BD79)+SUM(BD112:BD119)</f>
        <v>758.35231323231028</v>
      </c>
      <c r="BE136" s="242">
        <f>SUM(BE16:BE135)</f>
        <v>23</v>
      </c>
      <c r="BF136" s="457">
        <f>SUM(BF48:BF55,BF88:BF95,BF128:BF135)</f>
        <v>15</v>
      </c>
    </row>
    <row r="137" spans="2:70" ht="14.5" thickBot="1" x14ac:dyDescent="0.35">
      <c r="B137" s="731"/>
      <c r="C137" s="750" t="s">
        <v>240</v>
      </c>
      <c r="D137" s="751"/>
      <c r="E137" s="751"/>
      <c r="F137" s="751"/>
      <c r="G137" s="751"/>
      <c r="H137" s="751"/>
      <c r="I137" s="751"/>
      <c r="J137" s="752"/>
      <c r="K137" s="108">
        <f>SUM(I17,I21,J22,J59,I61,J96,J99,I101)</f>
        <v>39</v>
      </c>
      <c r="L137" s="109">
        <f>SUM(J32,J73,J78,J116)</f>
        <v>771.44827586206895</v>
      </c>
      <c r="M137" s="110">
        <f>SUM(J80,J87,J126,J44)</f>
        <v>45</v>
      </c>
      <c r="N137" s="168">
        <f>SUM(J51,J55,J130,J92)</f>
        <v>20</v>
      </c>
      <c r="O137" s="244">
        <f>SUM(I20,J21,I58,J62,J97,I98,J100,I103)</f>
        <v>20</v>
      </c>
      <c r="P137" s="245">
        <f>SUM(J34,I73,J75,J117)</f>
        <v>747.5914942861275</v>
      </c>
      <c r="Q137" s="246">
        <f>SUM(J43,J46,I87,J120)</f>
        <v>26</v>
      </c>
      <c r="R137" s="247">
        <f>SUM(J48,J88,J93,J131)</f>
        <v>20</v>
      </c>
      <c r="S137" s="244">
        <f>SUM(J18,I23,I56,J61,I96,I97,J98,J101)</f>
        <v>26</v>
      </c>
      <c r="T137" s="245">
        <f>SUM(J35,J38,J79,J115)</f>
        <v>723.78249159655093</v>
      </c>
      <c r="U137" s="246">
        <f>SUM(J40,J81,J84,I126)</f>
        <v>15</v>
      </c>
      <c r="V137" s="247">
        <f>SUM(J49,J90,J94,J132)</f>
        <v>20</v>
      </c>
      <c r="W137" s="244">
        <f>SUM(J16,I18,J23,J58,I59,I99,J102,I103)</f>
        <v>24</v>
      </c>
      <c r="X137" s="245">
        <f>SUM(J37,J76,I79,J114)</f>
        <v>759.39047619047619</v>
      </c>
      <c r="Y137" s="246">
        <f>SUM(J41,I81,J121,J124)</f>
        <v>35</v>
      </c>
      <c r="Z137" s="247">
        <f>SUM(J52,J54,J128,J133)</f>
        <v>24</v>
      </c>
      <c r="AA137" s="244">
        <f>SUM(I18,J20,I59,I61,I62,J56,J100,J98)</f>
        <v>35</v>
      </c>
      <c r="AB137" s="245">
        <f>SUM(I32,J74,J112,J119)</f>
        <v>656.82259207115249</v>
      </c>
      <c r="AC137" s="246">
        <f>SUM(I43,J45,I84,J125)</f>
        <v>39</v>
      </c>
      <c r="AD137" s="247">
        <f>SUM(I49,J89,J95,J129)</f>
        <v>28</v>
      </c>
      <c r="AE137" s="244">
        <f>SUM(I17,J19,I22,J57,J60,J102,I97,I96)</f>
        <v>21</v>
      </c>
      <c r="AF137" s="245">
        <f>SUM(I37,I75,J72,I117)</f>
        <v>603.17758810572684</v>
      </c>
      <c r="AG137" s="246">
        <f>SUM(J47,J85,J82,J123)</f>
        <v>36</v>
      </c>
      <c r="AH137" s="247">
        <f>SUM(I48,J50,I130,J135)</f>
        <v>20</v>
      </c>
      <c r="AI137" s="244">
        <f>SUM(I19,J23,I56,J62,I63,J60,I99,J101)</f>
        <v>23</v>
      </c>
      <c r="AJ137" s="245">
        <f>SUM(J33,J36,J77,I116)</f>
        <v>798.60251090541544</v>
      </c>
      <c r="AK137" s="246">
        <f>SUM(I40,I46,I82,J127)</f>
        <v>43</v>
      </c>
      <c r="AL137" s="247">
        <f>SUM(J53,J91,I128,J134)</f>
        <v>24</v>
      </c>
      <c r="AM137" s="244">
        <f>SUM(I16,J17,J56,I57,I60,J99,I100,J97)</f>
        <v>37</v>
      </c>
      <c r="AN137" s="245">
        <f>SUM(I34,I35,J39,I114)</f>
        <v>840</v>
      </c>
      <c r="AO137" s="246">
        <f>SUM(I44,J83,J86,I127)</f>
        <v>32</v>
      </c>
      <c r="AP137" s="247">
        <f>SUM(I54,I93,I95,I134)</f>
        <v>16</v>
      </c>
      <c r="AQ137" s="244">
        <f>SUM(J18,J21,I22,I57,I60,J61,J96,I102)</f>
        <v>30</v>
      </c>
      <c r="AR137" s="245">
        <f>SUM(I36,I74,I78,I119)</f>
        <v>824.51612903225805</v>
      </c>
      <c r="AS137" s="246">
        <f>SUM(I41,I47,J122,I124)</f>
        <v>50</v>
      </c>
      <c r="AT137" s="247">
        <f>SUM(I51,I91,I129,I131)</f>
        <v>22</v>
      </c>
      <c r="AU137" s="244">
        <f>SUM(J17,I19,J57,J59,I63,I101,J103,I58)</f>
        <v>36</v>
      </c>
      <c r="AV137" s="245">
        <f>SUM(I38,I39,J118,I112)</f>
        <v>779.68355552118271</v>
      </c>
      <c r="AW137" s="246">
        <f>SUM(I45,I80,I121,I122)</f>
        <v>56</v>
      </c>
      <c r="AX137" s="247">
        <f>SUM(I50,I52,I94,I132)</f>
        <v>23</v>
      </c>
      <c r="AY137" s="244">
        <f>SUM(I16,I23,J20,J58,J63,I98,J103,J22)</f>
        <v>34</v>
      </c>
      <c r="AZ137" s="245">
        <f>SUM(I72,I77,I118,J113)</f>
        <v>791.40495867768595</v>
      </c>
      <c r="BA137" s="246">
        <f>SUM(J42,I86,I120,I123)</f>
        <v>49</v>
      </c>
      <c r="BB137" s="247">
        <f>SUM(I53,I89,I92,I133)</f>
        <v>17</v>
      </c>
      <c r="BC137" s="244">
        <f>SUM(J16,J19,I21,I62,J63,I100,I102,I20)</f>
        <v>33</v>
      </c>
      <c r="BD137" s="245">
        <f>SUM(I33,I76,I113,I115)</f>
        <v>802.42590167837159</v>
      </c>
      <c r="BE137" s="246">
        <f>SUM(I42,I85,I125,I83)</f>
        <v>56</v>
      </c>
      <c r="BF137" s="458">
        <f>SUM(I55,I90,I88,I135)</f>
        <v>28</v>
      </c>
    </row>
    <row r="138" spans="2:70" ht="14.5" thickBot="1" x14ac:dyDescent="0.35">
      <c r="B138" s="731"/>
      <c r="C138" s="561" t="s">
        <v>312</v>
      </c>
      <c r="D138" s="562"/>
      <c r="E138" s="562"/>
      <c r="F138" s="562"/>
      <c r="G138" s="562"/>
      <c r="H138" s="562"/>
      <c r="I138" s="562"/>
      <c r="J138" s="447">
        <v>1000</v>
      </c>
      <c r="K138" s="107">
        <f>K136 - K137/$J$138</f>
        <v>20.960999999999999</v>
      </c>
      <c r="L138" s="185">
        <f>L136 - L137/$J$138</f>
        <v>815.97447291486401</v>
      </c>
      <c r="M138" s="238">
        <f>M136 - M137/$J$138</f>
        <v>26.954999999999998</v>
      </c>
      <c r="N138" s="239">
        <f t="shared" ref="N138:BF138" si="89">N136 - N137/$J$138</f>
        <v>22.98</v>
      </c>
      <c r="O138" s="107">
        <f t="shared" si="89"/>
        <v>37.979999999999997</v>
      </c>
      <c r="P138" s="185">
        <f t="shared" si="89"/>
        <v>709.1274085057139</v>
      </c>
      <c r="Q138" s="238">
        <f t="shared" si="89"/>
        <v>55.973999999999997</v>
      </c>
      <c r="R138" s="239">
        <f t="shared" si="89"/>
        <v>18.98</v>
      </c>
      <c r="S138" s="107">
        <f t="shared" si="89"/>
        <v>33.973999999999997</v>
      </c>
      <c r="T138" s="185">
        <f t="shared" si="89"/>
        <v>757.86083289301882</v>
      </c>
      <c r="U138" s="238">
        <f t="shared" si="89"/>
        <v>55.984999999999999</v>
      </c>
      <c r="V138" s="239">
        <f t="shared" si="89"/>
        <v>23.98</v>
      </c>
      <c r="W138" s="107">
        <f t="shared" si="89"/>
        <v>35.975999999999999</v>
      </c>
      <c r="X138" s="185">
        <f t="shared" si="89"/>
        <v>806.12569016897078</v>
      </c>
      <c r="Y138" s="238">
        <f t="shared" si="89"/>
        <v>46.965000000000003</v>
      </c>
      <c r="Z138" s="239">
        <f t="shared" si="89"/>
        <v>20.975999999999999</v>
      </c>
      <c r="AA138" s="107">
        <f t="shared" si="89"/>
        <v>22.965</v>
      </c>
      <c r="AB138" s="185">
        <f t="shared" si="89"/>
        <v>823.85930644018686</v>
      </c>
      <c r="AC138" s="238">
        <f t="shared" si="89"/>
        <v>41.960999999999999</v>
      </c>
      <c r="AD138" s="239">
        <f t="shared" si="89"/>
        <v>15.972</v>
      </c>
      <c r="AE138" s="107">
        <f t="shared" si="89"/>
        <v>38.978999999999999</v>
      </c>
      <c r="AF138" s="185">
        <f t="shared" si="89"/>
        <v>839.39682241189428</v>
      </c>
      <c r="AG138" s="238">
        <f t="shared" si="89"/>
        <v>42.963999999999999</v>
      </c>
      <c r="AH138" s="239">
        <f t="shared" si="89"/>
        <v>22.98</v>
      </c>
      <c r="AI138" s="107">
        <f t="shared" si="89"/>
        <v>36.976999999999997</v>
      </c>
      <c r="AJ138" s="185">
        <f t="shared" si="89"/>
        <v>781.55463202884948</v>
      </c>
      <c r="AK138" s="238">
        <f t="shared" si="89"/>
        <v>33.957000000000001</v>
      </c>
      <c r="AL138" s="239">
        <f t="shared" si="89"/>
        <v>18.975999999999999</v>
      </c>
      <c r="AM138" s="107">
        <f t="shared" si="89"/>
        <v>27.963000000000001</v>
      </c>
      <c r="AN138" s="185">
        <f t="shared" si="89"/>
        <v>682.954496912595</v>
      </c>
      <c r="AO138" s="238">
        <f t="shared" si="89"/>
        <v>53.968000000000004</v>
      </c>
      <c r="AP138" s="239">
        <f t="shared" si="89"/>
        <v>26.984000000000002</v>
      </c>
      <c r="AQ138" s="107">
        <f t="shared" si="89"/>
        <v>26.97</v>
      </c>
      <c r="AR138" s="185">
        <f t="shared" si="89"/>
        <v>697.07730146265874</v>
      </c>
      <c r="AS138" s="238">
        <f t="shared" si="89"/>
        <v>46.95</v>
      </c>
      <c r="AT138" s="239">
        <f t="shared" si="89"/>
        <v>22.978000000000002</v>
      </c>
      <c r="AU138" s="107">
        <f t="shared" si="89"/>
        <v>26.963999999999999</v>
      </c>
      <c r="AV138" s="185">
        <f t="shared" si="89"/>
        <v>728.74638279518967</v>
      </c>
      <c r="AW138" s="238">
        <f t="shared" si="89"/>
        <v>17.943999999999999</v>
      </c>
      <c r="AX138" s="239">
        <f t="shared" si="89"/>
        <v>25.977</v>
      </c>
      <c r="AY138" s="107">
        <f t="shared" si="89"/>
        <v>25.966000000000001</v>
      </c>
      <c r="AZ138" s="185">
        <f t="shared" si="89"/>
        <v>689.51989408851637</v>
      </c>
      <c r="BA138" s="238">
        <f t="shared" si="89"/>
        <v>34.951000000000001</v>
      </c>
      <c r="BB138" s="239">
        <f t="shared" si="89"/>
        <v>25.983000000000001</v>
      </c>
      <c r="BC138" s="107">
        <f t="shared" si="89"/>
        <v>21.966999999999999</v>
      </c>
      <c r="BD138" s="185">
        <f t="shared" si="89"/>
        <v>757.54988733063192</v>
      </c>
      <c r="BE138" s="238">
        <f t="shared" si="89"/>
        <v>22.943999999999999</v>
      </c>
      <c r="BF138" s="459">
        <f t="shared" si="89"/>
        <v>14.972</v>
      </c>
    </row>
    <row r="139" spans="2:70" x14ac:dyDescent="0.3">
      <c r="B139" s="731"/>
      <c r="C139" s="1"/>
      <c r="D139" s="1"/>
      <c r="E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2:70" ht="14.5" thickBot="1" x14ac:dyDescent="0.35">
      <c r="B140" s="731"/>
      <c r="C140" s="1"/>
      <c r="D140" s="1"/>
      <c r="E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2:70" ht="17.5" x14ac:dyDescent="0.3">
      <c r="B141" s="731"/>
      <c r="C141" s="627" t="s">
        <v>301</v>
      </c>
      <c r="D141" s="628"/>
      <c r="E141" s="628"/>
      <c r="F141" s="628"/>
      <c r="G141" s="628"/>
      <c r="H141" s="628"/>
      <c r="I141" s="629"/>
      <c r="J141" s="441">
        <v>21</v>
      </c>
      <c r="K141" s="177">
        <f>K138*$J$141</f>
        <v>440.18099999999998</v>
      </c>
      <c r="L141" s="178"/>
      <c r="M141" s="178"/>
      <c r="N141" s="179"/>
      <c r="O141" s="177">
        <f>O138*$J$141</f>
        <v>797.57999999999993</v>
      </c>
      <c r="P141" s="178"/>
      <c r="Q141" s="178"/>
      <c r="R141" s="179"/>
      <c r="S141" s="177">
        <f>S138*$J$141</f>
        <v>713.45399999999995</v>
      </c>
      <c r="T141" s="178"/>
      <c r="U141" s="178"/>
      <c r="V141" s="179"/>
      <c r="W141" s="177">
        <f>W138*$J$141</f>
        <v>755.49599999999998</v>
      </c>
      <c r="X141" s="178"/>
      <c r="Y141" s="178"/>
      <c r="Z141" s="179"/>
      <c r="AA141" s="177">
        <f>AA138*$J$141</f>
        <v>482.26499999999999</v>
      </c>
      <c r="AB141" s="178"/>
      <c r="AC141" s="178"/>
      <c r="AD141" s="179"/>
      <c r="AE141" s="177">
        <f>AE138*$J$141</f>
        <v>818.55899999999997</v>
      </c>
      <c r="AF141" s="178"/>
      <c r="AG141" s="178"/>
      <c r="AH141" s="179"/>
      <c r="AI141" s="177">
        <f>AI138*$J$141</f>
        <v>776.51699999999994</v>
      </c>
      <c r="AJ141" s="178"/>
      <c r="AK141" s="178"/>
      <c r="AL141" s="179"/>
      <c r="AM141" s="177">
        <f>AM138*$J$141</f>
        <v>587.22300000000007</v>
      </c>
      <c r="AN141" s="178"/>
      <c r="AO141" s="178"/>
      <c r="AP141" s="179"/>
      <c r="AQ141" s="177">
        <f>AQ138*$J$141</f>
        <v>566.37</v>
      </c>
      <c r="AR141" s="178"/>
      <c r="AS141" s="178"/>
      <c r="AT141" s="179"/>
      <c r="AU141" s="177">
        <f>AU138*$J$141</f>
        <v>566.24399999999991</v>
      </c>
      <c r="AV141" s="178"/>
      <c r="AW141" s="178"/>
      <c r="AX141" s="179"/>
      <c r="AY141" s="177">
        <f>AY138*$J$141</f>
        <v>545.28600000000006</v>
      </c>
      <c r="AZ141" s="178"/>
      <c r="BA141" s="178"/>
      <c r="BB141" s="179"/>
      <c r="BC141" s="177">
        <f>BC138*$J$141</f>
        <v>461.30699999999996</v>
      </c>
      <c r="BD141" s="178"/>
      <c r="BE141" s="178"/>
      <c r="BF141" s="179"/>
      <c r="BI141" s="21"/>
    </row>
    <row r="142" spans="2:70" ht="17.5" x14ac:dyDescent="0.3">
      <c r="B142" s="731"/>
      <c r="C142" s="630" t="s">
        <v>291</v>
      </c>
      <c r="D142" s="631"/>
      <c r="E142" s="631"/>
      <c r="F142" s="631"/>
      <c r="G142" s="631"/>
      <c r="H142" s="631"/>
      <c r="I142" s="632"/>
      <c r="J142" s="442">
        <v>1</v>
      </c>
      <c r="K142" s="231"/>
      <c r="L142" s="232">
        <f>L138*$J$142</f>
        <v>815.97447291486401</v>
      </c>
      <c r="M142" s="233"/>
      <c r="N142" s="234"/>
      <c r="O142" s="231"/>
      <c r="P142" s="232">
        <f>P138*$J$142</f>
        <v>709.1274085057139</v>
      </c>
      <c r="Q142" s="233"/>
      <c r="R142" s="234"/>
      <c r="S142" s="231"/>
      <c r="T142" s="232">
        <f>T138*$J$142</f>
        <v>757.86083289301882</v>
      </c>
      <c r="U142" s="233"/>
      <c r="V142" s="234"/>
      <c r="W142" s="231"/>
      <c r="X142" s="232">
        <f>X138*$J$142</f>
        <v>806.12569016897078</v>
      </c>
      <c r="Y142" s="233"/>
      <c r="Z142" s="234"/>
      <c r="AA142" s="231"/>
      <c r="AB142" s="232">
        <f>AB138*$J$142</f>
        <v>823.85930644018686</v>
      </c>
      <c r="AC142" s="233"/>
      <c r="AD142" s="234"/>
      <c r="AE142" s="231"/>
      <c r="AF142" s="232">
        <f>AF138*$J$142</f>
        <v>839.39682241189428</v>
      </c>
      <c r="AG142" s="233"/>
      <c r="AH142" s="234"/>
      <c r="AI142" s="231"/>
      <c r="AJ142" s="232">
        <f>AJ138*$J$142</f>
        <v>781.55463202884948</v>
      </c>
      <c r="AK142" s="233"/>
      <c r="AL142" s="234"/>
      <c r="AM142" s="231"/>
      <c r="AN142" s="232">
        <f>AN138*$J$142</f>
        <v>682.954496912595</v>
      </c>
      <c r="AO142" s="233"/>
      <c r="AP142" s="234"/>
      <c r="AQ142" s="231"/>
      <c r="AR142" s="232">
        <f>AR138*$J$142</f>
        <v>697.07730146265874</v>
      </c>
      <c r="AS142" s="233"/>
      <c r="AT142" s="234"/>
      <c r="AU142" s="231"/>
      <c r="AV142" s="232">
        <f>AV138*$J$142</f>
        <v>728.74638279518967</v>
      </c>
      <c r="AW142" s="233"/>
      <c r="AX142" s="234"/>
      <c r="AY142" s="231"/>
      <c r="AZ142" s="232">
        <f>AZ138*$J$142</f>
        <v>689.51989408851637</v>
      </c>
      <c r="BA142" s="233"/>
      <c r="BB142" s="234"/>
      <c r="BC142" s="231"/>
      <c r="BD142" s="232">
        <f>BD138*$J$142</f>
        <v>757.54988733063192</v>
      </c>
      <c r="BE142" s="233"/>
      <c r="BF142" s="234"/>
      <c r="BI142" s="21"/>
    </row>
    <row r="143" spans="2:70" ht="17.5" x14ac:dyDescent="0.3">
      <c r="B143" s="731"/>
      <c r="C143" s="633" t="s">
        <v>292</v>
      </c>
      <c r="D143" s="634"/>
      <c r="E143" s="634"/>
      <c r="F143" s="634"/>
      <c r="G143" s="634"/>
      <c r="H143" s="634"/>
      <c r="I143" s="635"/>
      <c r="J143" s="443">
        <v>15</v>
      </c>
      <c r="K143" s="231"/>
      <c r="L143" s="233"/>
      <c r="M143" s="180">
        <f>M138*$J$143</f>
        <v>404.32499999999999</v>
      </c>
      <c r="N143" s="234"/>
      <c r="O143" s="231"/>
      <c r="P143" s="233"/>
      <c r="Q143" s="180">
        <f>Q138*$J$143</f>
        <v>839.6099999999999</v>
      </c>
      <c r="R143" s="234"/>
      <c r="S143" s="231"/>
      <c r="T143" s="233"/>
      <c r="U143" s="180">
        <f>U138*$J$143</f>
        <v>839.77499999999998</v>
      </c>
      <c r="V143" s="234"/>
      <c r="W143" s="231"/>
      <c r="X143" s="233"/>
      <c r="Y143" s="180">
        <f>Y138*$J$143</f>
        <v>704.47500000000002</v>
      </c>
      <c r="Z143" s="234"/>
      <c r="AA143" s="231"/>
      <c r="AB143" s="233"/>
      <c r="AC143" s="180">
        <f>AC138*$J$143</f>
        <v>629.41499999999996</v>
      </c>
      <c r="AD143" s="234"/>
      <c r="AE143" s="231"/>
      <c r="AF143" s="233"/>
      <c r="AG143" s="180">
        <f>AG138*$J$143</f>
        <v>644.46</v>
      </c>
      <c r="AH143" s="234"/>
      <c r="AI143" s="231"/>
      <c r="AJ143" s="233"/>
      <c r="AK143" s="180">
        <f>AK138*$J$143</f>
        <v>509.35500000000002</v>
      </c>
      <c r="AL143" s="234"/>
      <c r="AM143" s="231"/>
      <c r="AN143" s="233"/>
      <c r="AO143" s="180">
        <f>AO138*$J$143</f>
        <v>809.5200000000001</v>
      </c>
      <c r="AP143" s="234"/>
      <c r="AQ143" s="231"/>
      <c r="AR143" s="233"/>
      <c r="AS143" s="180">
        <f>AS138*$J$143</f>
        <v>704.25</v>
      </c>
      <c r="AT143" s="234"/>
      <c r="AU143" s="231"/>
      <c r="AV143" s="233"/>
      <c r="AW143" s="180">
        <f>AW138*$J$143</f>
        <v>269.15999999999997</v>
      </c>
      <c r="AX143" s="234"/>
      <c r="AY143" s="231"/>
      <c r="AZ143" s="233"/>
      <c r="BA143" s="180">
        <f>BA138*$J$143</f>
        <v>524.26499999999999</v>
      </c>
      <c r="BB143" s="234"/>
      <c r="BC143" s="231"/>
      <c r="BD143" s="233"/>
      <c r="BE143" s="180">
        <f>BE138*$J$143</f>
        <v>344.15999999999997</v>
      </c>
      <c r="BF143" s="234"/>
      <c r="BI143" s="21"/>
    </row>
    <row r="144" spans="2:70" ht="18" thickBot="1" x14ac:dyDescent="0.35">
      <c r="B144" s="731"/>
      <c r="C144" s="636" t="s">
        <v>332</v>
      </c>
      <c r="D144" s="637"/>
      <c r="E144" s="637"/>
      <c r="F144" s="637"/>
      <c r="G144" s="637"/>
      <c r="H144" s="637"/>
      <c r="I144" s="637"/>
      <c r="J144" s="444">
        <v>30</v>
      </c>
      <c r="K144" s="235"/>
      <c r="L144" s="236"/>
      <c r="M144" s="236"/>
      <c r="N144" s="237">
        <f>N138*$J$144</f>
        <v>689.4</v>
      </c>
      <c r="O144" s="235"/>
      <c r="P144" s="236"/>
      <c r="Q144" s="236"/>
      <c r="R144" s="237">
        <f>R138*$J$144</f>
        <v>569.4</v>
      </c>
      <c r="S144" s="235"/>
      <c r="T144" s="236"/>
      <c r="U144" s="236"/>
      <c r="V144" s="237">
        <f>V138*$J$144</f>
        <v>719.4</v>
      </c>
      <c r="W144" s="235"/>
      <c r="X144" s="236"/>
      <c r="Y144" s="236"/>
      <c r="Z144" s="237">
        <f>Z138*$J$144</f>
        <v>629.28</v>
      </c>
      <c r="AA144" s="235"/>
      <c r="AB144" s="236"/>
      <c r="AC144" s="236"/>
      <c r="AD144" s="237">
        <f>AD138*$J$144</f>
        <v>479.15999999999997</v>
      </c>
      <c r="AE144" s="235"/>
      <c r="AF144" s="236"/>
      <c r="AG144" s="236"/>
      <c r="AH144" s="237">
        <f>AH138*$J$144</f>
        <v>689.4</v>
      </c>
      <c r="AI144" s="235"/>
      <c r="AJ144" s="236"/>
      <c r="AK144" s="236"/>
      <c r="AL144" s="237">
        <f>AL138*$J$144</f>
        <v>569.28</v>
      </c>
      <c r="AM144" s="235"/>
      <c r="AN144" s="236"/>
      <c r="AO144" s="236"/>
      <c r="AP144" s="237">
        <f>AP138*$J$144</f>
        <v>809.5200000000001</v>
      </c>
      <c r="AQ144" s="235"/>
      <c r="AR144" s="236"/>
      <c r="AS144" s="236"/>
      <c r="AT144" s="237">
        <f>AT138*$J$144</f>
        <v>689.34</v>
      </c>
      <c r="AU144" s="235"/>
      <c r="AV144" s="236"/>
      <c r="AW144" s="236"/>
      <c r="AX144" s="237">
        <f>AX138*$J$144</f>
        <v>779.31000000000006</v>
      </c>
      <c r="AY144" s="235"/>
      <c r="AZ144" s="236"/>
      <c r="BA144" s="236"/>
      <c r="BB144" s="237">
        <f>BB138*$J$144</f>
        <v>779.49</v>
      </c>
      <c r="BC144" s="235"/>
      <c r="BD144" s="236"/>
      <c r="BE144" s="236"/>
      <c r="BF144" s="237">
        <f>BF138*$J$144</f>
        <v>449.15999999999997</v>
      </c>
      <c r="BI144" s="21"/>
    </row>
    <row r="145" spans="2:58" ht="18" thickBot="1" x14ac:dyDescent="0.35">
      <c r="B145" s="731"/>
      <c r="C145" s="621" t="s">
        <v>27</v>
      </c>
      <c r="D145" s="622"/>
      <c r="E145" s="622"/>
      <c r="F145" s="622"/>
      <c r="G145" s="622"/>
      <c r="H145" s="622"/>
      <c r="I145" s="622"/>
      <c r="J145" s="623"/>
      <c r="K145" s="591">
        <f t="shared" ref="K145" si="90">K141+L142+M143 + N144</f>
        <v>2349.8804729148642</v>
      </c>
      <c r="L145" s="592"/>
      <c r="M145" s="592"/>
      <c r="N145" s="593"/>
      <c r="O145" s="591">
        <f t="shared" ref="O145" si="91">O141+P142+Q143 + R144</f>
        <v>2915.7174085057136</v>
      </c>
      <c r="P145" s="592"/>
      <c r="Q145" s="592"/>
      <c r="R145" s="593"/>
      <c r="S145" s="591">
        <f t="shared" ref="S145" si="92">S141+T142+U143 + V144</f>
        <v>3030.489832893019</v>
      </c>
      <c r="T145" s="592"/>
      <c r="U145" s="592"/>
      <c r="V145" s="593"/>
      <c r="W145" s="591">
        <f t="shared" ref="W145" si="93">W141+X142+Y143 + Z144</f>
        <v>2895.3766901689705</v>
      </c>
      <c r="X145" s="592"/>
      <c r="Y145" s="592"/>
      <c r="Z145" s="593"/>
      <c r="AA145" s="591">
        <f t="shared" ref="AA145" si="94">AA141+AB142+AC143 + AD144</f>
        <v>2414.6993064401868</v>
      </c>
      <c r="AB145" s="592"/>
      <c r="AC145" s="592"/>
      <c r="AD145" s="593"/>
      <c r="AE145" s="591">
        <f t="shared" ref="AE145" si="95">AE141+AF142+AG143 + AH144</f>
        <v>2991.8158224118943</v>
      </c>
      <c r="AF145" s="592"/>
      <c r="AG145" s="592"/>
      <c r="AH145" s="593"/>
      <c r="AI145" s="591">
        <f t="shared" ref="AI145" si="96">AI141+AJ142+AK143 + AL144</f>
        <v>2636.7066320288495</v>
      </c>
      <c r="AJ145" s="592"/>
      <c r="AK145" s="592"/>
      <c r="AL145" s="593"/>
      <c r="AM145" s="591">
        <f>AM141+AN142+AO143 + AP144</f>
        <v>2889.2174969125949</v>
      </c>
      <c r="AN145" s="592"/>
      <c r="AO145" s="592"/>
      <c r="AP145" s="593"/>
      <c r="AQ145" s="591">
        <f>AQ141+AR142+AS143 + AT144</f>
        <v>2657.0373014626589</v>
      </c>
      <c r="AR145" s="592"/>
      <c r="AS145" s="592"/>
      <c r="AT145" s="593"/>
      <c r="AU145" s="591">
        <f>AU141+AV142+AW143 + AX144</f>
        <v>2343.4603827951896</v>
      </c>
      <c r="AV145" s="592"/>
      <c r="AW145" s="592"/>
      <c r="AX145" s="593"/>
      <c r="AY145" s="591">
        <f>AY141+AZ142+BA143 + BB144</f>
        <v>2538.5608940885168</v>
      </c>
      <c r="AZ145" s="592"/>
      <c r="BA145" s="592"/>
      <c r="BB145" s="593"/>
      <c r="BC145" s="591">
        <f>BC141+BD142+BE143 + BF144</f>
        <v>2012.1768873306319</v>
      </c>
      <c r="BD145" s="592"/>
      <c r="BE145" s="592"/>
      <c r="BF145" s="593"/>
    </row>
    <row r="146" spans="2:58" x14ac:dyDescent="0.3">
      <c r="B146" s="731"/>
      <c r="C146" s="5"/>
      <c r="D146" s="5"/>
      <c r="E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2:58" ht="14.5" thickBot="1" x14ac:dyDescent="0.35">
      <c r="B147" s="731"/>
      <c r="C147" s="5"/>
      <c r="D147" s="5"/>
      <c r="E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2:58" ht="17.5" x14ac:dyDescent="0.3">
      <c r="B148" s="731"/>
      <c r="C148" s="624" t="s">
        <v>144</v>
      </c>
      <c r="D148" s="625"/>
      <c r="E148" s="625"/>
      <c r="F148" s="625"/>
      <c r="G148" s="625"/>
      <c r="H148" s="625"/>
      <c r="I148" s="625"/>
      <c r="J148" s="626"/>
      <c r="K148" s="288">
        <f>K141/8.4/100</f>
        <v>0.52402499999999996</v>
      </c>
      <c r="L148" s="289"/>
      <c r="M148" s="289"/>
      <c r="N148" s="290"/>
      <c r="O148" s="288">
        <f>O141/8.4/100</f>
        <v>0.9494999999999999</v>
      </c>
      <c r="P148" s="289"/>
      <c r="Q148" s="289"/>
      <c r="R148" s="290"/>
      <c r="S148" s="288">
        <f>S141/8.4/100</f>
        <v>0.84934999999999983</v>
      </c>
      <c r="T148" s="289"/>
      <c r="U148" s="289"/>
      <c r="V148" s="290"/>
      <c r="W148" s="288">
        <f>W141/8.4/100</f>
        <v>0.89939999999999998</v>
      </c>
      <c r="X148" s="289"/>
      <c r="Y148" s="289"/>
      <c r="Z148" s="290"/>
      <c r="AA148" s="288">
        <f>AA141/8.4/100</f>
        <v>0.574125</v>
      </c>
      <c r="AB148" s="289"/>
      <c r="AC148" s="289"/>
      <c r="AD148" s="290"/>
      <c r="AE148" s="288">
        <f>AE141/8.4/100</f>
        <v>0.97447499999999987</v>
      </c>
      <c r="AF148" s="289"/>
      <c r="AG148" s="289"/>
      <c r="AH148" s="290"/>
      <c r="AI148" s="288">
        <f>AI141/8.4/100</f>
        <v>0.92442499999999994</v>
      </c>
      <c r="AJ148" s="289"/>
      <c r="AK148" s="289"/>
      <c r="AL148" s="290"/>
      <c r="AM148" s="288">
        <f>AM141/8.4/100</f>
        <v>0.699075</v>
      </c>
      <c r="AN148" s="289"/>
      <c r="AO148" s="289"/>
      <c r="AP148" s="290"/>
      <c r="AQ148" s="288">
        <f>AQ141/8.4/100</f>
        <v>0.67425000000000002</v>
      </c>
      <c r="AR148" s="289"/>
      <c r="AS148" s="289"/>
      <c r="AT148" s="290"/>
      <c r="AU148" s="288">
        <f>AU141/8.4/100</f>
        <v>0.67409999999999981</v>
      </c>
      <c r="AV148" s="289"/>
      <c r="AW148" s="289"/>
      <c r="AX148" s="290"/>
      <c r="AY148" s="288">
        <f>AY141/8.4/100</f>
        <v>0.64915000000000012</v>
      </c>
      <c r="AZ148" s="289"/>
      <c r="BA148" s="289"/>
      <c r="BB148" s="290"/>
      <c r="BC148" s="288">
        <f>BC141/8.4/100</f>
        <v>0.54917499999999986</v>
      </c>
      <c r="BD148" s="289"/>
      <c r="BE148" s="289"/>
      <c r="BF148" s="290"/>
    </row>
    <row r="149" spans="2:58" ht="17.5" x14ac:dyDescent="0.3">
      <c r="B149" s="731"/>
      <c r="C149" s="597" t="s">
        <v>145</v>
      </c>
      <c r="D149" s="598"/>
      <c r="E149" s="598"/>
      <c r="F149" s="598"/>
      <c r="G149" s="598"/>
      <c r="H149" s="598"/>
      <c r="I149" s="598"/>
      <c r="J149" s="599"/>
      <c r="K149" s="291"/>
      <c r="L149" s="292">
        <f>L142/8.4/100</f>
        <v>0.97139818204150474</v>
      </c>
      <c r="M149" s="293"/>
      <c r="N149" s="294"/>
      <c r="O149" s="291"/>
      <c r="P149" s="292">
        <f>P142/8.4/100</f>
        <v>0.84419929584013564</v>
      </c>
      <c r="Q149" s="293"/>
      <c r="R149" s="294"/>
      <c r="S149" s="291"/>
      <c r="T149" s="292">
        <f>T142/8.4/100</f>
        <v>0.90221527725359385</v>
      </c>
      <c r="U149" s="293"/>
      <c r="V149" s="294"/>
      <c r="W149" s="291"/>
      <c r="X149" s="292">
        <f>X142/8.4/100</f>
        <v>0.95967344067734617</v>
      </c>
      <c r="Y149" s="293"/>
      <c r="Z149" s="294"/>
      <c r="AA149" s="291"/>
      <c r="AB149" s="292">
        <f>AB142/8.4/100</f>
        <v>0.98078488861927005</v>
      </c>
      <c r="AC149" s="293"/>
      <c r="AD149" s="294"/>
      <c r="AE149" s="291"/>
      <c r="AF149" s="292">
        <f>AF142/8.4/100</f>
        <v>0.99928193144273125</v>
      </c>
      <c r="AG149" s="293"/>
      <c r="AH149" s="294"/>
      <c r="AI149" s="291"/>
      <c r="AJ149" s="292">
        <f>AJ142/8.4/100</f>
        <v>0.93042218098672547</v>
      </c>
      <c r="AK149" s="293"/>
      <c r="AL149" s="294"/>
      <c r="AM149" s="291"/>
      <c r="AN149" s="292">
        <f>AN142/8.4/100</f>
        <v>0.81304106775308926</v>
      </c>
      <c r="AO149" s="293"/>
      <c r="AP149" s="294"/>
      <c r="AQ149" s="291"/>
      <c r="AR149" s="292">
        <f>AR142/8.4/100</f>
        <v>0.82985393031268895</v>
      </c>
      <c r="AS149" s="293"/>
      <c r="AT149" s="294"/>
      <c r="AU149" s="291"/>
      <c r="AV149" s="292">
        <f>AV142/8.4/100</f>
        <v>0.86755521761332099</v>
      </c>
      <c r="AW149" s="293"/>
      <c r="AX149" s="294"/>
      <c r="AY149" s="291"/>
      <c r="AZ149" s="292">
        <f>AZ142/8.4/100</f>
        <v>0.82085701677204326</v>
      </c>
      <c r="BA149" s="293"/>
      <c r="BB149" s="294"/>
      <c r="BC149" s="291"/>
      <c r="BD149" s="292">
        <f>BD142/8.4/100</f>
        <v>0.90184510396503792</v>
      </c>
      <c r="BE149" s="293"/>
      <c r="BF149" s="294"/>
    </row>
    <row r="150" spans="2:58" ht="17.5" x14ac:dyDescent="0.3">
      <c r="B150" s="731"/>
      <c r="C150" s="600" t="s">
        <v>146</v>
      </c>
      <c r="D150" s="601"/>
      <c r="E150" s="601"/>
      <c r="F150" s="601"/>
      <c r="G150" s="601"/>
      <c r="H150" s="601"/>
      <c r="I150" s="601"/>
      <c r="J150" s="602"/>
      <c r="K150" s="291"/>
      <c r="L150" s="293"/>
      <c r="M150" s="295">
        <f>M143/8.4/100</f>
        <v>0.48133928571428569</v>
      </c>
      <c r="N150" s="294"/>
      <c r="O150" s="291"/>
      <c r="P150" s="293"/>
      <c r="Q150" s="295">
        <f>Q143/8.4/100</f>
        <v>0.99953571428571408</v>
      </c>
      <c r="R150" s="294"/>
      <c r="S150" s="291"/>
      <c r="T150" s="293"/>
      <c r="U150" s="295">
        <f>U143/8.4/100</f>
        <v>0.99973214285714274</v>
      </c>
      <c r="V150" s="294"/>
      <c r="W150" s="291"/>
      <c r="X150" s="293"/>
      <c r="Y150" s="295">
        <f>Y143/8.4/100</f>
        <v>0.83866071428571431</v>
      </c>
      <c r="Z150" s="294"/>
      <c r="AA150" s="291"/>
      <c r="AB150" s="293"/>
      <c r="AC150" s="295">
        <f>AC143/8.4/100</f>
        <v>0.74930357142857129</v>
      </c>
      <c r="AD150" s="294"/>
      <c r="AE150" s="291"/>
      <c r="AF150" s="293"/>
      <c r="AG150" s="295">
        <f>AG143/8.4/100</f>
        <v>0.76721428571428574</v>
      </c>
      <c r="AH150" s="294"/>
      <c r="AI150" s="291"/>
      <c r="AJ150" s="293"/>
      <c r="AK150" s="295">
        <f>AK143/8.4/100</f>
        <v>0.606375</v>
      </c>
      <c r="AL150" s="294"/>
      <c r="AM150" s="291"/>
      <c r="AN150" s="293"/>
      <c r="AO150" s="295">
        <f>AO143/8.4/100</f>
        <v>0.96371428571428586</v>
      </c>
      <c r="AP150" s="294"/>
      <c r="AQ150" s="291"/>
      <c r="AR150" s="293"/>
      <c r="AS150" s="295">
        <f>AS143/8.4/100</f>
        <v>0.83839285714285705</v>
      </c>
      <c r="AT150" s="294"/>
      <c r="AU150" s="291"/>
      <c r="AV150" s="293"/>
      <c r="AW150" s="295">
        <f>AW143/8.4/100</f>
        <v>0.3204285714285714</v>
      </c>
      <c r="AX150" s="294"/>
      <c r="AY150" s="291"/>
      <c r="AZ150" s="293"/>
      <c r="BA150" s="295">
        <f>BA143/8.4/100</f>
        <v>0.62412499999999993</v>
      </c>
      <c r="BB150" s="294"/>
      <c r="BC150" s="291"/>
      <c r="BD150" s="293"/>
      <c r="BE150" s="295">
        <f>BE143/8.4/100</f>
        <v>0.4097142857142857</v>
      </c>
      <c r="BF150" s="294"/>
    </row>
    <row r="151" spans="2:58" ht="18" thickBot="1" x14ac:dyDescent="0.35">
      <c r="B151" s="731"/>
      <c r="C151" s="585" t="s">
        <v>318</v>
      </c>
      <c r="D151" s="586"/>
      <c r="E151" s="586"/>
      <c r="F151" s="586"/>
      <c r="G151" s="586"/>
      <c r="H151" s="586"/>
      <c r="I151" s="586"/>
      <c r="J151" s="587"/>
      <c r="K151" s="296"/>
      <c r="L151" s="297"/>
      <c r="M151" s="297"/>
      <c r="N151" s="298">
        <f>N144/8.4/100</f>
        <v>0.82071428571428573</v>
      </c>
      <c r="O151" s="296"/>
      <c r="P151" s="297"/>
      <c r="Q151" s="297"/>
      <c r="R151" s="298">
        <f>R144/8.4/100</f>
        <v>0.67785714285714282</v>
      </c>
      <c r="S151" s="296"/>
      <c r="T151" s="297"/>
      <c r="U151" s="297"/>
      <c r="V151" s="298">
        <f>V144/8.4/100</f>
        <v>0.85642857142857143</v>
      </c>
      <c r="W151" s="296"/>
      <c r="X151" s="297"/>
      <c r="Y151" s="297"/>
      <c r="Z151" s="298">
        <f>Z144/8.4/100</f>
        <v>0.74914285714285711</v>
      </c>
      <c r="AA151" s="296"/>
      <c r="AB151" s="297"/>
      <c r="AC151" s="297"/>
      <c r="AD151" s="298">
        <f>AD144/8.4/100</f>
        <v>0.5704285714285714</v>
      </c>
      <c r="AE151" s="296"/>
      <c r="AF151" s="297"/>
      <c r="AG151" s="297"/>
      <c r="AH151" s="298">
        <f>AH144/8.4/100</f>
        <v>0.82071428571428573</v>
      </c>
      <c r="AI151" s="296"/>
      <c r="AJ151" s="297"/>
      <c r="AK151" s="297"/>
      <c r="AL151" s="298">
        <f>AL144/8.4/100</f>
        <v>0.67771428571428571</v>
      </c>
      <c r="AM151" s="296"/>
      <c r="AN151" s="297"/>
      <c r="AO151" s="297"/>
      <c r="AP151" s="298">
        <f>AP144/8.4/100</f>
        <v>0.96371428571428586</v>
      </c>
      <c r="AQ151" s="296"/>
      <c r="AR151" s="297"/>
      <c r="AS151" s="297"/>
      <c r="AT151" s="298">
        <f>AT144/8.4/100</f>
        <v>0.82064285714285712</v>
      </c>
      <c r="AU151" s="296"/>
      <c r="AV151" s="297"/>
      <c r="AW151" s="297"/>
      <c r="AX151" s="298">
        <f>AX144/8.4/100</f>
        <v>0.92775000000000007</v>
      </c>
      <c r="AY151" s="296"/>
      <c r="AZ151" s="297"/>
      <c r="BA151" s="297"/>
      <c r="BB151" s="298">
        <f>BB144/8.4/100</f>
        <v>0.92796428571428569</v>
      </c>
      <c r="BC151" s="296"/>
      <c r="BD151" s="297"/>
      <c r="BE151" s="297"/>
      <c r="BF151" s="298">
        <f>BF144/8.4/100</f>
        <v>0.5347142857142857</v>
      </c>
    </row>
    <row r="152" spans="2:58" ht="18" thickBot="1" x14ac:dyDescent="0.35">
      <c r="B152" s="731"/>
      <c r="C152" s="621" t="s">
        <v>147</v>
      </c>
      <c r="D152" s="622"/>
      <c r="E152" s="622"/>
      <c r="F152" s="622"/>
      <c r="G152" s="622"/>
      <c r="H152" s="622"/>
      <c r="I152" s="622"/>
      <c r="J152" s="623"/>
      <c r="K152" s="594">
        <f>K145/(8.4*4)/100</f>
        <v>0.69936918836751916</v>
      </c>
      <c r="L152" s="595"/>
      <c r="M152" s="595"/>
      <c r="N152" s="596"/>
      <c r="O152" s="594">
        <f>O145/(8.4*4)/100</f>
        <v>0.86777303824574803</v>
      </c>
      <c r="P152" s="595"/>
      <c r="Q152" s="595"/>
      <c r="R152" s="596"/>
      <c r="S152" s="594">
        <f>S145/(8.4*4)/100</f>
        <v>0.90193149788482696</v>
      </c>
      <c r="T152" s="595"/>
      <c r="U152" s="595"/>
      <c r="V152" s="596"/>
      <c r="W152" s="594">
        <f>W145/(8.4*4)/100</f>
        <v>0.86171925302647934</v>
      </c>
      <c r="X152" s="595"/>
      <c r="Y152" s="595"/>
      <c r="Z152" s="596"/>
      <c r="AA152" s="594">
        <f>AA145/(8.4*4)/100</f>
        <v>0.71866050786910318</v>
      </c>
      <c r="AB152" s="595"/>
      <c r="AC152" s="595"/>
      <c r="AD152" s="596"/>
      <c r="AE152" s="594">
        <f>AE145/(8.4*4)/100</f>
        <v>0.89042137571782565</v>
      </c>
      <c r="AF152" s="595"/>
      <c r="AG152" s="595"/>
      <c r="AH152" s="596"/>
      <c r="AI152" s="594">
        <f>AI145/(8.4*4)/100</f>
        <v>0.78473411667525284</v>
      </c>
      <c r="AJ152" s="595"/>
      <c r="AK152" s="595"/>
      <c r="AL152" s="596"/>
      <c r="AM152" s="594">
        <f>AM145/(8.4*4)/100</f>
        <v>0.85988615979541505</v>
      </c>
      <c r="AN152" s="595"/>
      <c r="AO152" s="595"/>
      <c r="AP152" s="596"/>
      <c r="AQ152" s="594">
        <f>AQ145/(8.4*4)/100</f>
        <v>0.79078491114960092</v>
      </c>
      <c r="AR152" s="595"/>
      <c r="AS152" s="595"/>
      <c r="AT152" s="596"/>
      <c r="AU152" s="594">
        <f>AU145/(8.4*4)/100</f>
        <v>0.69745844726047312</v>
      </c>
      <c r="AV152" s="595"/>
      <c r="AW152" s="595"/>
      <c r="AX152" s="596"/>
      <c r="AY152" s="594">
        <f>AY145/(8.4*4)/100</f>
        <v>0.75552407562158241</v>
      </c>
      <c r="AZ152" s="595"/>
      <c r="BA152" s="595"/>
      <c r="BB152" s="596"/>
      <c r="BC152" s="594">
        <f>BC145/(8.4*4)/100</f>
        <v>0.59886216884840227</v>
      </c>
      <c r="BD152" s="595"/>
      <c r="BE152" s="595"/>
      <c r="BF152" s="596"/>
    </row>
    <row r="153" spans="2:58" x14ac:dyDescent="0.3">
      <c r="B153" s="731"/>
      <c r="C153" s="5"/>
      <c r="D153" s="5"/>
      <c r="E153" s="5"/>
      <c r="F153" s="5"/>
      <c r="G153" s="5"/>
      <c r="H153" s="5"/>
      <c r="I153" s="5"/>
      <c r="J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2:58" ht="14.5" thickBot="1" x14ac:dyDescent="0.35">
      <c r="B154" s="731"/>
      <c r="C154" s="5"/>
      <c r="D154" s="5"/>
      <c r="E154" s="5"/>
      <c r="F154" s="5"/>
      <c r="G154" s="5"/>
      <c r="H154" s="5"/>
      <c r="I154" s="5"/>
      <c r="J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2:58" s="6" customFormat="1" ht="20.25" customHeight="1" x14ac:dyDescent="0.3">
      <c r="B155" s="731"/>
      <c r="C155" s="624" t="s">
        <v>166</v>
      </c>
      <c r="D155" s="625"/>
      <c r="E155" s="625"/>
      <c r="F155" s="625"/>
      <c r="G155" s="625"/>
      <c r="H155" s="625"/>
      <c r="I155" s="625"/>
      <c r="J155" s="626"/>
      <c r="K155" s="494">
        <f>RANK(K141,$K141:$BF141)</f>
        <v>12</v>
      </c>
      <c r="L155" s="464"/>
      <c r="M155" s="464"/>
      <c r="N155" s="465"/>
      <c r="O155" s="494">
        <f>RANK(O141,$K141:$BF141)</f>
        <v>2</v>
      </c>
      <c r="P155" s="464"/>
      <c r="Q155" s="464"/>
      <c r="R155" s="465"/>
      <c r="S155" s="494">
        <f>RANK(S141,$K141:$BF141)</f>
        <v>5</v>
      </c>
      <c r="T155" s="464"/>
      <c r="U155" s="464"/>
      <c r="V155" s="465"/>
      <c r="W155" s="494">
        <f t="shared" ref="W155" si="97">RANK(W141,$K141:$BF141)</f>
        <v>4</v>
      </c>
      <c r="X155" s="464"/>
      <c r="Y155" s="464"/>
      <c r="Z155" s="465"/>
      <c r="AA155" s="494">
        <f t="shared" ref="AA155" si="98">RANK(AA141,$K141:$BF141)</f>
        <v>10</v>
      </c>
      <c r="AB155" s="464"/>
      <c r="AC155" s="464"/>
      <c r="AD155" s="465"/>
      <c r="AE155" s="494">
        <f t="shared" ref="AE155" si="99">RANK(AE141,$K141:$BF141)</f>
        <v>1</v>
      </c>
      <c r="AF155" s="464"/>
      <c r="AG155" s="464"/>
      <c r="AH155" s="465"/>
      <c r="AI155" s="494">
        <f t="shared" ref="AI155" si="100">RANK(AI141,$K141:$BF141)</f>
        <v>3</v>
      </c>
      <c r="AJ155" s="464"/>
      <c r="AK155" s="464"/>
      <c r="AL155" s="465"/>
      <c r="AM155" s="494">
        <f t="shared" ref="AM155" si="101">RANK(AM141,$K141:$BF141)</f>
        <v>6</v>
      </c>
      <c r="AN155" s="464"/>
      <c r="AO155" s="464"/>
      <c r="AP155" s="465"/>
      <c r="AQ155" s="494">
        <f t="shared" ref="AQ155" si="102">RANK(AQ141,$K141:$BF141)</f>
        <v>7</v>
      </c>
      <c r="AR155" s="464"/>
      <c r="AS155" s="464"/>
      <c r="AT155" s="465"/>
      <c r="AU155" s="494">
        <f t="shared" ref="AU155" si="103">RANK(AU141,$K141:$BF141)</f>
        <v>8</v>
      </c>
      <c r="AV155" s="464"/>
      <c r="AW155" s="464"/>
      <c r="AX155" s="465"/>
      <c r="AY155" s="494">
        <f t="shared" ref="AY155" si="104">RANK(AY141,$K141:$BF141)</f>
        <v>9</v>
      </c>
      <c r="AZ155" s="464"/>
      <c r="BA155" s="464"/>
      <c r="BB155" s="465"/>
      <c r="BC155" s="494">
        <f t="shared" ref="BC155" si="105">RANK(BC141,$K141:$BF141)</f>
        <v>11</v>
      </c>
      <c r="BD155" s="464"/>
      <c r="BE155" s="464"/>
      <c r="BF155" s="465"/>
    </row>
    <row r="156" spans="2:58" s="6" customFormat="1" ht="20.25" customHeight="1" x14ac:dyDescent="0.3">
      <c r="B156" s="731"/>
      <c r="C156" s="597" t="s">
        <v>167</v>
      </c>
      <c r="D156" s="598"/>
      <c r="E156" s="598"/>
      <c r="F156" s="598"/>
      <c r="G156" s="598"/>
      <c r="H156" s="598"/>
      <c r="I156" s="598"/>
      <c r="J156" s="599"/>
      <c r="K156" s="495">
        <f>RANK(L142,$K142:$BE142)</f>
        <v>3</v>
      </c>
      <c r="L156" s="467"/>
      <c r="M156" s="467"/>
      <c r="N156" s="468"/>
      <c r="O156" s="495">
        <f>RANK(P142,$K142:$BE142)</f>
        <v>9</v>
      </c>
      <c r="P156" s="467"/>
      <c r="Q156" s="467"/>
      <c r="R156" s="468"/>
      <c r="S156" s="495">
        <f>RANK(T142,$K142:$BE142)</f>
        <v>6</v>
      </c>
      <c r="T156" s="467"/>
      <c r="U156" s="467"/>
      <c r="V156" s="468"/>
      <c r="W156" s="495">
        <f t="shared" ref="W156" si="106">RANK(X142,$K142:$BE142)</f>
        <v>4</v>
      </c>
      <c r="X156" s="467"/>
      <c r="Y156" s="467"/>
      <c r="Z156" s="468"/>
      <c r="AA156" s="495">
        <f t="shared" ref="AA156" si="107">RANK(AB142,$K142:$BE142)</f>
        <v>2</v>
      </c>
      <c r="AB156" s="467"/>
      <c r="AC156" s="467"/>
      <c r="AD156" s="468"/>
      <c r="AE156" s="495">
        <f t="shared" ref="AE156" si="108">RANK(AF142,$K142:$BE142)</f>
        <v>1</v>
      </c>
      <c r="AF156" s="467"/>
      <c r="AG156" s="467"/>
      <c r="AH156" s="468"/>
      <c r="AI156" s="495">
        <f t="shared" ref="AI156" si="109">RANK(AJ142,$K142:$BE142)</f>
        <v>5</v>
      </c>
      <c r="AJ156" s="467"/>
      <c r="AK156" s="467"/>
      <c r="AL156" s="468"/>
      <c r="AM156" s="495">
        <f t="shared" ref="AM156" si="110">RANK(AN142,$K142:$BE142)</f>
        <v>12</v>
      </c>
      <c r="AN156" s="467"/>
      <c r="AO156" s="467"/>
      <c r="AP156" s="468"/>
      <c r="AQ156" s="495">
        <f t="shared" ref="AQ156" si="111">RANK(AR142,$K142:$BE142)</f>
        <v>10</v>
      </c>
      <c r="AR156" s="467"/>
      <c r="AS156" s="467"/>
      <c r="AT156" s="468"/>
      <c r="AU156" s="495">
        <f t="shared" ref="AU156" si="112">RANK(AV142,$K142:$BE142)</f>
        <v>8</v>
      </c>
      <c r="AV156" s="467"/>
      <c r="AW156" s="467"/>
      <c r="AX156" s="468"/>
      <c r="AY156" s="495">
        <f t="shared" ref="AY156" si="113">RANK(AZ142,$K142:$BE142)</f>
        <v>11</v>
      </c>
      <c r="AZ156" s="467"/>
      <c r="BA156" s="467"/>
      <c r="BB156" s="468"/>
      <c r="BC156" s="495">
        <f>RANK(BD142,$K142:$BF142)</f>
        <v>7</v>
      </c>
      <c r="BD156" s="467"/>
      <c r="BE156" s="467"/>
      <c r="BF156" s="468"/>
    </row>
    <row r="157" spans="2:58" s="6" customFormat="1" ht="20.25" customHeight="1" x14ac:dyDescent="0.3">
      <c r="B157" s="731"/>
      <c r="C157" s="600" t="s">
        <v>168</v>
      </c>
      <c r="D157" s="601"/>
      <c r="E157" s="601"/>
      <c r="F157" s="601"/>
      <c r="G157" s="601"/>
      <c r="H157" s="601"/>
      <c r="I157" s="601"/>
      <c r="J157" s="602"/>
      <c r="K157" s="496">
        <f>RANK(M143,$K143:$BE143)</f>
        <v>10</v>
      </c>
      <c r="L157" s="470"/>
      <c r="M157" s="470"/>
      <c r="N157" s="471"/>
      <c r="O157" s="496">
        <f>RANK(Q143,$K143:$BE143)</f>
        <v>2</v>
      </c>
      <c r="P157" s="470"/>
      <c r="Q157" s="470"/>
      <c r="R157" s="471"/>
      <c r="S157" s="496">
        <f>RANK(U143,$K143:$BE143)</f>
        <v>1</v>
      </c>
      <c r="T157" s="470"/>
      <c r="U157" s="470"/>
      <c r="V157" s="471"/>
      <c r="W157" s="496">
        <f t="shared" ref="W157" si="114">RANK(Y143,$K143:$BE143)</f>
        <v>4</v>
      </c>
      <c r="X157" s="470"/>
      <c r="Y157" s="470"/>
      <c r="Z157" s="471"/>
      <c r="AA157" s="496">
        <f t="shared" ref="AA157" si="115">RANK(AC143,$K143:$BE143)</f>
        <v>7</v>
      </c>
      <c r="AB157" s="470"/>
      <c r="AC157" s="470"/>
      <c r="AD157" s="471"/>
      <c r="AE157" s="496">
        <f t="shared" ref="AE157" si="116">RANK(AG143,$K143:$BE143)</f>
        <v>6</v>
      </c>
      <c r="AF157" s="470"/>
      <c r="AG157" s="470"/>
      <c r="AH157" s="471"/>
      <c r="AI157" s="496">
        <f t="shared" ref="AI157" si="117">RANK(AK143,$K143:$BE143)</f>
        <v>9</v>
      </c>
      <c r="AJ157" s="470"/>
      <c r="AK157" s="470"/>
      <c r="AL157" s="471"/>
      <c r="AM157" s="496">
        <f t="shared" ref="AM157" si="118">RANK(AO143,$K143:$BE143)</f>
        <v>3</v>
      </c>
      <c r="AN157" s="470"/>
      <c r="AO157" s="470"/>
      <c r="AP157" s="471"/>
      <c r="AQ157" s="496">
        <f t="shared" ref="AQ157" si="119">RANK(AS143,$K143:$BE143)</f>
        <v>5</v>
      </c>
      <c r="AR157" s="470"/>
      <c r="AS157" s="470"/>
      <c r="AT157" s="471"/>
      <c r="AU157" s="496">
        <f t="shared" ref="AU157" si="120">RANK(AW143,$K143:$BE143)</f>
        <v>12</v>
      </c>
      <c r="AV157" s="470"/>
      <c r="AW157" s="470"/>
      <c r="AX157" s="471"/>
      <c r="AY157" s="496">
        <f t="shared" ref="AY157" si="121">RANK(BA143,$K143:$BE143)</f>
        <v>8</v>
      </c>
      <c r="AZ157" s="470"/>
      <c r="BA157" s="470"/>
      <c r="BB157" s="471"/>
      <c r="BC157" s="496">
        <f t="shared" ref="BC157" si="122">RANK(BE143,$K143:$BE143)</f>
        <v>11</v>
      </c>
      <c r="BD157" s="470"/>
      <c r="BE157" s="470"/>
      <c r="BF157" s="471"/>
    </row>
    <row r="158" spans="2:58" s="6" customFormat="1" ht="20.25" customHeight="1" thickBot="1" x14ac:dyDescent="0.35">
      <c r="B158" s="731"/>
      <c r="C158" s="585" t="s">
        <v>319</v>
      </c>
      <c r="D158" s="586"/>
      <c r="E158" s="586"/>
      <c r="F158" s="586"/>
      <c r="G158" s="586"/>
      <c r="H158" s="586"/>
      <c r="I158" s="586"/>
      <c r="J158" s="587"/>
      <c r="K158" s="493">
        <f t="shared" ref="K158" si="123">RANK(N144,$K144:$BF144)</f>
        <v>5</v>
      </c>
      <c r="L158" s="473"/>
      <c r="M158" s="473"/>
      <c r="N158" s="474"/>
      <c r="O158" s="493">
        <f t="shared" ref="O158" si="124">RANK(R144,$K144:$BF144)</f>
        <v>9</v>
      </c>
      <c r="P158" s="473"/>
      <c r="Q158" s="473"/>
      <c r="R158" s="474"/>
      <c r="S158" s="493">
        <f t="shared" ref="S158" si="125">RANK(V144,$K144:$BF144)</f>
        <v>4</v>
      </c>
      <c r="T158" s="473"/>
      <c r="U158" s="473"/>
      <c r="V158" s="474"/>
      <c r="W158" s="493">
        <f t="shared" ref="W158" si="126">RANK(Z144,$K144:$BF144)</f>
        <v>8</v>
      </c>
      <c r="X158" s="473"/>
      <c r="Y158" s="473"/>
      <c r="Z158" s="474"/>
      <c r="AA158" s="493">
        <f t="shared" ref="AA158" si="127">RANK(AD144,$K144:$BF144)</f>
        <v>11</v>
      </c>
      <c r="AB158" s="473"/>
      <c r="AC158" s="473"/>
      <c r="AD158" s="474"/>
      <c r="AE158" s="493">
        <f t="shared" ref="AE158" si="128">RANK(AH144,$K144:$BF144)</f>
        <v>5</v>
      </c>
      <c r="AF158" s="473"/>
      <c r="AG158" s="473"/>
      <c r="AH158" s="474"/>
      <c r="AI158" s="493">
        <f t="shared" ref="AI158" si="129">RANK(AL144,$K144:$BF144)</f>
        <v>10</v>
      </c>
      <c r="AJ158" s="473"/>
      <c r="AK158" s="473"/>
      <c r="AL158" s="474"/>
      <c r="AM158" s="493">
        <f t="shared" ref="AM158" si="130">RANK(AP144,$K144:$BF144)</f>
        <v>1</v>
      </c>
      <c r="AN158" s="473"/>
      <c r="AO158" s="473"/>
      <c r="AP158" s="474"/>
      <c r="AQ158" s="493">
        <f t="shared" ref="AQ158" si="131">RANK(AT144,$K144:$BF144)</f>
        <v>7</v>
      </c>
      <c r="AR158" s="473"/>
      <c r="AS158" s="473"/>
      <c r="AT158" s="474"/>
      <c r="AU158" s="493">
        <f t="shared" ref="AU158" si="132">RANK(AX144,$K144:$BF144)</f>
        <v>3</v>
      </c>
      <c r="AV158" s="473"/>
      <c r="AW158" s="473"/>
      <c r="AX158" s="474"/>
      <c r="AY158" s="493">
        <f t="shared" ref="AY158" si="133">RANK(BB144,$K144:$BF144)</f>
        <v>2</v>
      </c>
      <c r="AZ158" s="473"/>
      <c r="BA158" s="473"/>
      <c r="BB158" s="474"/>
      <c r="BC158" s="493">
        <f>RANK(BF144,$K144:$BF144)</f>
        <v>12</v>
      </c>
      <c r="BD158" s="473"/>
      <c r="BE158" s="473"/>
      <c r="BF158" s="474"/>
    </row>
    <row r="159" spans="2:58" ht="41.25" customHeight="1" thickBot="1" x14ac:dyDescent="0.35">
      <c r="B159" s="732"/>
      <c r="C159" s="603" t="s">
        <v>169</v>
      </c>
      <c r="D159" s="604"/>
      <c r="E159" s="604"/>
      <c r="F159" s="604"/>
      <c r="G159" s="604"/>
      <c r="H159" s="604"/>
      <c r="I159" s="604"/>
      <c r="J159" s="605"/>
      <c r="K159" s="563">
        <f>RANK(K145,$K145:$BE145)</f>
        <v>10</v>
      </c>
      <c r="L159" s="513"/>
      <c r="M159" s="513"/>
      <c r="N159" s="514"/>
      <c r="O159" s="563">
        <f>RANK(O145,$K145:$BE145)</f>
        <v>3</v>
      </c>
      <c r="P159" s="513"/>
      <c r="Q159" s="513"/>
      <c r="R159" s="514"/>
      <c r="S159" s="563">
        <f>RANK(S145,$K145:$BE145)</f>
        <v>1</v>
      </c>
      <c r="T159" s="513"/>
      <c r="U159" s="513"/>
      <c r="V159" s="514"/>
      <c r="W159" s="563">
        <f t="shared" ref="W159" si="134">RANK(W145,$K145:$BE145)</f>
        <v>4</v>
      </c>
      <c r="X159" s="513"/>
      <c r="Y159" s="513"/>
      <c r="Z159" s="514"/>
      <c r="AA159" s="563">
        <f t="shared" ref="AA159" si="135">RANK(AA145,$K145:$BE145)</f>
        <v>9</v>
      </c>
      <c r="AB159" s="513"/>
      <c r="AC159" s="513"/>
      <c r="AD159" s="514"/>
      <c r="AE159" s="563">
        <f t="shared" ref="AE159" si="136">RANK(AE145,$K145:$BE145)</f>
        <v>2</v>
      </c>
      <c r="AF159" s="513"/>
      <c r="AG159" s="513"/>
      <c r="AH159" s="514"/>
      <c r="AI159" s="563">
        <f t="shared" ref="AI159" si="137">RANK(AI145,$K145:$BE145)</f>
        <v>7</v>
      </c>
      <c r="AJ159" s="513"/>
      <c r="AK159" s="513"/>
      <c r="AL159" s="514"/>
      <c r="AM159" s="563">
        <f t="shared" ref="AM159" si="138">RANK(AM145,$K145:$BE145)</f>
        <v>5</v>
      </c>
      <c r="AN159" s="513"/>
      <c r="AO159" s="513"/>
      <c r="AP159" s="514"/>
      <c r="AQ159" s="563">
        <f t="shared" ref="AQ159" si="139">RANK(AQ145,$K145:$BE145)</f>
        <v>6</v>
      </c>
      <c r="AR159" s="513"/>
      <c r="AS159" s="513"/>
      <c r="AT159" s="514"/>
      <c r="AU159" s="563">
        <f t="shared" ref="AU159" si="140">RANK(AU145,$K145:$BE145)</f>
        <v>11</v>
      </c>
      <c r="AV159" s="513"/>
      <c r="AW159" s="513"/>
      <c r="AX159" s="514"/>
      <c r="AY159" s="563">
        <f t="shared" ref="AY159" si="141">RANK(AY145,$K145:$BE145)</f>
        <v>8</v>
      </c>
      <c r="AZ159" s="513"/>
      <c r="BA159" s="513"/>
      <c r="BB159" s="514"/>
      <c r="BC159" s="563">
        <f t="shared" ref="BC159" si="142">RANK(BC145,$K145:$BE145)</f>
        <v>12</v>
      </c>
      <c r="BD159" s="513"/>
      <c r="BE159" s="513"/>
      <c r="BF159" s="514"/>
    </row>
    <row r="160" spans="2:58" x14ac:dyDescent="0.3">
      <c r="K160"/>
    </row>
    <row r="161" spans="2:58" ht="14.5" thickBot="1" x14ac:dyDescent="0.35">
      <c r="L161" s="1"/>
      <c r="M161" s="1"/>
      <c r="N161" s="1"/>
    </row>
    <row r="162" spans="2:58" ht="18" customHeight="1" thickBot="1" x14ac:dyDescent="0.35">
      <c r="K162" s="527" t="s">
        <v>160</v>
      </c>
      <c r="L162" s="528"/>
      <c r="M162" s="528"/>
      <c r="N162" s="528"/>
      <c r="O162" s="528"/>
      <c r="P162" s="528"/>
      <c r="Q162" s="528"/>
      <c r="R162" s="528"/>
      <c r="S162" s="528"/>
      <c r="T162" s="528"/>
      <c r="U162" s="528"/>
      <c r="V162" s="528"/>
      <c r="W162" s="528"/>
      <c r="X162" s="528"/>
      <c r="Y162" s="528"/>
      <c r="Z162" s="528"/>
      <c r="AA162" s="528"/>
      <c r="AB162" s="528"/>
      <c r="AC162" s="528"/>
      <c r="AD162" s="528"/>
      <c r="AE162" s="528"/>
      <c r="AF162" s="528"/>
      <c r="AG162" s="528"/>
      <c r="AH162" s="528"/>
      <c r="AI162" s="528"/>
      <c r="AJ162" s="528"/>
      <c r="AK162" s="528"/>
      <c r="AL162" s="528"/>
      <c r="AM162" s="528"/>
      <c r="AN162" s="528"/>
      <c r="AO162" s="528"/>
      <c r="AP162" s="528"/>
      <c r="AQ162" s="528"/>
      <c r="AR162" s="529"/>
    </row>
    <row r="163" spans="2:58" ht="23.5" customHeight="1" thickBot="1" x14ac:dyDescent="0.35">
      <c r="K163" s="724" t="s">
        <v>152</v>
      </c>
      <c r="L163" s="725"/>
      <c r="M163" s="725"/>
      <c r="N163" s="725"/>
      <c r="O163" s="725"/>
      <c r="P163" s="725"/>
      <c r="Q163" s="726"/>
      <c r="T163" s="570" t="s">
        <v>153</v>
      </c>
      <c r="U163" s="571"/>
      <c r="V163" s="571"/>
      <c r="W163" s="571"/>
      <c r="X163" s="571"/>
      <c r="Y163" s="571"/>
      <c r="Z163" s="572"/>
      <c r="AC163" s="727" t="s">
        <v>154</v>
      </c>
      <c r="AD163" s="728"/>
      <c r="AE163" s="728"/>
      <c r="AF163" s="728"/>
      <c r="AG163" s="728"/>
      <c r="AH163" s="728"/>
      <c r="AI163" s="729"/>
      <c r="AL163" s="588" t="s">
        <v>320</v>
      </c>
      <c r="AM163" s="589"/>
      <c r="AN163" s="589"/>
      <c r="AO163" s="589"/>
      <c r="AP163" s="589"/>
      <c r="AQ163" s="589"/>
      <c r="AR163" s="590"/>
    </row>
    <row r="164" spans="2:58" x14ac:dyDescent="0.3">
      <c r="K164" s="53" t="s">
        <v>213</v>
      </c>
      <c r="L164" s="54" t="s">
        <v>219</v>
      </c>
      <c r="M164" s="57" t="str">
        <f>IF(K155=1,K13,IF(O$155=1,O$13,IF(S$155=1,S$13,IF(W$155=1,W$13,IF(AA$155=1,AA$13,IF(AE$155=1,AE$13,IF(AI$155=1,AI$13,IF(AM$155=1,AM$13,IF(AQ$155=1,AQ$13,IF(AU$155=1,AU$13,IF(AY$155=1,AY$13,IF(BC$155=1,BC$13,""))))))))))))</f>
        <v>F</v>
      </c>
      <c r="N164" s="564" t="str">
        <f>IF(K$155=1,K$14,IF(O$155=1,O$14,IF(S$155=1,S$14,IF(W$155=1,W$14,IF(AA$155=1,AA$14,IF(AE$155=1,AE$14,IF(AI$155=1,AI$14,IF(AM$155=1,AM$14,IF(AQ$155=1,AQ$14,IF(AU$155=1,AU$14,IF(AY$155=1,AY$14,IF(BC$155=1,BC$14,""))))))))))))</f>
        <v>Massimo</v>
      </c>
      <c r="O164" s="566"/>
      <c r="P164" s="427">
        <f>IF($K$155=1,$K$141,IF($O$155=1,$O$141,IF($S$155=1,$S$141,IF($W$155=1,$W$141,IF($AA$155=1,$AA$141,IF($AE$155=1,$AE$141,IF($AI$155=1,$AI$141,IF($AM$155=1,$AM$141,IF($AQ$155=1,$AQ$141,IF($AU$155=1,$AU$141,IF($AY$155=1,$AY$141,IF($BC$155=1,$BC$141,""))))))))))))</f>
        <v>818.55899999999997</v>
      </c>
      <c r="Q164" s="439">
        <f>P164/840</f>
        <v>0.97447499999999998</v>
      </c>
      <c r="T164" s="62" t="s">
        <v>213</v>
      </c>
      <c r="U164" s="63" t="s">
        <v>191</v>
      </c>
      <c r="V164" s="63" t="str">
        <f>IF(K156=1,K13,IF(O$156=1,O$13,IF(S$156=1,S$13,IF(W$156=1,W$13,IF(AA$156=1,AA$13,IF(AE$156=1,AE$13,IF(AI$156=1,AI$13,IF(AM$156=1,AM$13,IF(AQ$156=1,AQ$13,IF(AU$156=1,AU$13,IF(AY$156=1,AY$13,IF(BC$156=1,BC$13,""))))))))))))</f>
        <v>F</v>
      </c>
      <c r="W164" s="573" t="str">
        <f>IF(K156=1,K14,IF(O$156=1,O$14,IF(S$156=1,S$14,IF(W$156=1,W$14,IF(AA$156=1,AA$14,IF(AE$156=1,AE$14,IF(AI$156=1,AI$14,IF(AM$156=1,AM$14,IF(AQ$156=1,AQ$14,IF(AU$156=1,AU$14,IF(AY$156=1,AY$14,IF(BC$156=1,BC$14,""))))))))))))</f>
        <v>Massimo</v>
      </c>
      <c r="X164" s="575"/>
      <c r="Y164" s="422">
        <f>IF($K$156=1,$L$142,IF($O$156=1,$P$142,IF($S$156=1,$T$142,IF($W$156=1,$X$142,IF($AA$156=1,$AB$142,IF($AE$156=1,$AF$142,IF($AI$156=1,$AJ$142,IF($AM$156=1,$AN$142,IF($AQ$156=1,$AR$142,IF($AU$156=1,$AV$142,IF($AY$156=1,$AZ$142,IF($BC$156=1,$BD$142,""))))))))))))</f>
        <v>839.39682241189428</v>
      </c>
      <c r="Z164" s="433">
        <f>Y164/840</f>
        <v>0.99928193144273125</v>
      </c>
      <c r="AC164" s="71" t="s">
        <v>213</v>
      </c>
      <c r="AD164" s="72" t="s">
        <v>205</v>
      </c>
      <c r="AE164" s="72" t="str">
        <f>IF(K157=1,K13,IF(O$157=1,O$13,IF(S$157=1,S$13,IF(W$157=1,W$13,IF(AA$157=1,AA$13,IF(AE$157=1,AE$13,IF(AI$157=1,AI$13,IF(AM$157=1,AM$13,IF(AQ$157=1,AQ$13,IF(AU$157=1,AU$13,IF(AY$157=1,AY$13,IF(BC$157=1,BC$13,""))))))))))))</f>
        <v>C</v>
      </c>
      <c r="AF164" s="579" t="str">
        <f>IF(K157=1,K14,IF(O$157=1,O$14,IF(S$157=1,S$14,IF(W$157=1,W$14,IF(AA$157=1,AA$14,IF(AE$157=1,AE$14,IF(AI$157=1,AI$14,IF(AM$157=1,AM$14,IF(AQ$157=1,AQ$14,IF(AU$157=1,AU$14,IF(AY$157=1,AY$14,IF(BC$157=1,BC$14,""))))))))))))</f>
        <v>Pietro</v>
      </c>
      <c r="AG164" s="581"/>
      <c r="AH164" s="424">
        <f>IF($K$157=1,$M$143,IF($O$157=1,$Q$143,IF($S$157=1,$U$143,IF($W$157=1,$Y$143,IF($AA$157=1,$AC$143,IF($AE$157=1,$AG$143,IF($AI$157=1,$AK$143,IF($AM$157=1,$AO$143,IF($AQ$157=1,$AS$143,IF($AU$157=1,$AW$143,IF($AY$157=1,$BA$143,IF($BC$157=1,$BE$143,""))))))))))))</f>
        <v>839.77499999999998</v>
      </c>
      <c r="AI164" s="429">
        <f>AH164/840</f>
        <v>0.99973214285714285</v>
      </c>
      <c r="AL164" s="171" t="s">
        <v>213</v>
      </c>
      <c r="AM164" s="172" t="s">
        <v>285</v>
      </c>
      <c r="AN164" s="172" t="str">
        <f>IF(K158=1,K13,IF(O$158=1,O$13,IF(S$158=1,S$13,IF(W$158=1,W$13,IF(AA$158=1,AA$13,IF(AE$158=1,AE$13,IF(AI$158=1,AI$13,IF(AM$158=1,AM$13,IF(AQ$158=1,AQ$13,IF(AU$158=1,AU$13,IF(AY$158=1,AY$13,IF(BC$158=1,BC$13,""))))))))))))</f>
        <v>H</v>
      </c>
      <c r="AO164" s="539" t="str">
        <f>IF(K158=1,K14,IF(O$158=1,O$14,IF(S$158=1,S$14,IF(W$158=1,W$14,IF(AA$158=1,AA$14,IF(AE$158=1,AE$14,IF(AI$158=1,AI$14,IF(AM$158=1,AM$14,IF(AQ$158=1,AQ$14,IF(AU$158=1,AU$14,IF(AY$158=1,AY$14,IF(BC$158=1,BC$14,""))))))))))))</f>
        <v>Claudia</v>
      </c>
      <c r="AP164" s="541"/>
      <c r="AQ164" s="172">
        <f>IF($K$158=1,$N$144,IF($O$158=1,$R$144,IF($S$158=1,$V$144,IF($W$158=1,$Z$144,IF($AA$158=1,$AD$144,IF($AE$158=1,$AH$144,IF($AI$158=1,$AL$144,IF($AM$158=1,$AP$144,IF($AQ$158=1,$AT$144,IF($AU$158=1,$AX$144,IF($AY$158=1,$BB$144,IF($BC$158=1,$BF$144,""))))))))))))</f>
        <v>809.5200000000001</v>
      </c>
      <c r="AR164" s="436">
        <f>AQ164/840</f>
        <v>0.96371428571428586</v>
      </c>
    </row>
    <row r="165" spans="2:58" x14ac:dyDescent="0.3">
      <c r="K165" s="56" t="s">
        <v>214</v>
      </c>
      <c r="L165" s="57" t="s">
        <v>220</v>
      </c>
      <c r="M165" s="57" t="str">
        <f>IF(K155=2,K13,IF(O$155=2,O$13,IF(S$155=2,S$13,IF(W$155=2,W$13,IF(AA$155=2,AA$13,IF(AE$155=2,AE$13,IF(AI$155=2,AI$13,IF(AM$155=2,AM$13,IF(AQ$155=2,AQ$13,IF(AU$155=2,AU$13,IF(AY$155=2,AY$13,IF(BC$155=2,BC$13,""))))))))))))</f>
        <v>B</v>
      </c>
      <c r="N165" s="564" t="str">
        <f>IF(K$155=2,K$14,IF(O$155=2,O$14,IF(S$155=2,S$14,IF(W$155=2,W$14,IF(AA$155=2,AA$14,IF(AE$155=2,AE$14,IF(AI$155=2,AI$14,IF(AM$155=2,AM$14,IF(AQ$155=2,AQ$14,IF(AU$155=2,AU$14,IF(AY$155=2,AY$14,IF(BC$155=2,BC$14,""))))))))))))</f>
        <v>Stefano</v>
      </c>
      <c r="O165" s="566"/>
      <c r="P165" s="427">
        <f>IF($K155=2,$K141,IF($O155=2,$O141,IF($S155=2,$S141,IF($W155=2,$W141,IF($AA155=2,$AA141,IF($AE155=2,$AE141,IF($AI155=2,$AI141,IF($AM155=2,$AM141,IF($AQ155=2,$AQ141,IF($AU155=2,$AU141,IF($AY155=2,$AY141,IF($BC155=2,$BC141,""))))))))))))</f>
        <v>797.57999999999993</v>
      </c>
      <c r="Q165" s="439">
        <f t="shared" ref="Q165:Q168" si="143">P165/840</f>
        <v>0.9494999999999999</v>
      </c>
      <c r="T165" s="65" t="s">
        <v>214</v>
      </c>
      <c r="U165" s="66" t="s">
        <v>193</v>
      </c>
      <c r="V165" s="66" t="str">
        <f>IF(K156=2,K13,IF(O$156=2,O$13,IF(S$156=2,S$13,IF(W$156=2,W$13,IF(AA$156=2,AA$13,IF(AE$156=2,AE$13,IF(AI$156=2,AI$13,IF(AM$156=2,AM$13,IF(AQ$156=2,AQ$13,IF(AU$156=2,AU$13,IF(AY$156=2,AY$13,IF(BC$156=2,BC$13,""))))))))))))</f>
        <v>E</v>
      </c>
      <c r="W165" s="576" t="str">
        <f>IF(K156=2,K14,IF(O$156=2,O$14,IF(S$156=2,S$14,IF(W$156=2,W$14,IF(AA$156=2,AA$14,IF(AE$156=2,AE$14,IF(AI$156=2,AI$14,IF(AM$156=2,AM$14,IF(AQ$156=2,AQ$14,IF(AU$156=2,AU$14,IF(AY$156=2,AY$14,IF(BC$156=2,BC$14,""))))))))))))</f>
        <v>Alberto</v>
      </c>
      <c r="X165" s="578"/>
      <c r="Y165" s="181">
        <f>IF($K$156=2,$L$142,IF($O$156=2,$P$142,IF($S$156=2,$T$142,IF($W$156=2,$X$142,IF($AA$156=2,$AB$142,IF($AE$156=2,$AF$142,IF($AI$156=2,$AJ$142,IF($AM$156=2,$AN$142,IF($AQ$156=2,$AR$142,IF($AU$156=2,$AV$142,IF($AY$156=2,$AZ$142,IF($BC$156=2,$BD$142,""))))))))))))</f>
        <v>823.85930644018686</v>
      </c>
      <c r="Z165" s="434">
        <f t="shared" ref="Z165:Z169" si="144">Y165/840</f>
        <v>0.98078488861927005</v>
      </c>
      <c r="AC165" s="74" t="s">
        <v>214</v>
      </c>
      <c r="AD165" s="75" t="s">
        <v>207</v>
      </c>
      <c r="AE165" s="75" t="str">
        <f>IF(K157=2,K13,IF(O$157=2,O$13,IF(S$157=2,S$13,IF(W$157=2,W$13,IF(AA$157=2,AA$13,IF(AE$157=2,AE$13,IF(AI$157=2,AI$13,IF(AM$157=2,AM$13,IF(AQ$157=2,AQ$13,IF(AU$157=2,AU$13,IF(AY$157=2,AY$13,IF(BC$157=2,BC$13,""))))))))))))</f>
        <v>B</v>
      </c>
      <c r="AF165" s="582" t="str">
        <f>IF(K157=2,K14,IF(O$157=2,O$14,IF(S$157=2,S$14,IF(W$157=2,W$14,IF(AA$157=2,AA$14,IF(AE$157=2,AE$14,IF(AI$157=2,AI$14,IF(AM$157=2,AM$14,IF(AQ$157=2,AQ$14,IF(AU$157=2,AU$14,IF(AY$157=2,AY$14,IF(BC$157=2,BC$14,""))))))))))))</f>
        <v>Stefano</v>
      </c>
      <c r="AG165" s="584"/>
      <c r="AH165" s="425">
        <f>IF($K$157=2,$M$143,IF($O$157=2,$Q$143,IF($S$157=2,$U$143,IF($W$157=2,$Y$143,IF($AA$157=2,$AC$143,IF($AE$157=2,$AG$143,IF($AI$157=2,$AK$143,IF($AM$157=2,$AO$143,IF($AQ$157=2,$AS$143,IF($AU$157=2,$AW$143,IF($AY$157=2,$BA$143,IF($BC$157=2,$BE$143,""))))))))))))</f>
        <v>839.6099999999999</v>
      </c>
      <c r="AI165" s="430">
        <f t="shared" ref="AI165:AI169" si="145">AH165/840</f>
        <v>0.99953571428571419</v>
      </c>
      <c r="AL165" s="173" t="s">
        <v>214</v>
      </c>
      <c r="AM165" s="174" t="s">
        <v>286</v>
      </c>
      <c r="AN165" s="174" t="str">
        <f>IF(K158=2,K13,IF(O$158=2,O$13,IF(S$158=2,S$13,IF(W$158=2,W$13,IF(AA$158=2,AA$13,IF(AE$158=2,AE$13,IF(AI$158=2,AI$13,IF(AM$158=2,AM$13,IF(AQ$158=2,AQ$13,IF(AU$158=2,AU$13,IF(AY$158=2,AY$13,IF(BC$158=2,BC$13,""))))))))))))</f>
        <v>K</v>
      </c>
      <c r="AO165" s="478" t="str">
        <f>IF(K158=2,K14,IF(O$158=2,O$14,IF(S$158=2,S$14,IF(W$158=2,W$14,IF(AA$158=2,AA$14,IF(AE$158=2,AE$14,IF(AI$158=2,AI$14,IF(AM$158=2,AM$14,IF(AQ$158=2,AQ$14,IF(AU$158=2,AU$14,IF(AY$158=2,AY$14,IF(BC$158=2,BC$14,""))))))))))))</f>
        <v>Gustavo</v>
      </c>
      <c r="AP165" s="480"/>
      <c r="AQ165" s="174">
        <f>IF($K$158=2,$N$144,IF($O$158=2,$R$144,IF($S$158=2,$V$144,IF($W$158=2,$Z$144,IF($AA$158=2,$AD$144,IF($AE$158=2,$AH$144,IF($AI$158=2,$AL$144,IF($AM$158=2,$AP$144,IF($AQ$158=2,$AT$144,IF($AU$158=2,$AX$144,IF($AY$158=2,$BB$144,IF($BC$158=2,$BF$144,""))))))))))))</f>
        <v>779.49</v>
      </c>
      <c r="AR165" s="437">
        <f t="shared" ref="AR165:AR169" si="146">AQ165/840</f>
        <v>0.92796428571428569</v>
      </c>
    </row>
    <row r="166" spans="2:58" x14ac:dyDescent="0.3">
      <c r="K166" s="56" t="s">
        <v>215</v>
      </c>
      <c r="L166" s="57" t="s">
        <v>221</v>
      </c>
      <c r="M166" s="57" t="str">
        <f>IF(K155=3,K13,IF(O$155=3,O$13,IF(S$155=3,S$13,IF(W$155=3,W$13,IF(AA$155=3,AA$13,IF(AE$155=3,AE$13,IF(AI$155=3,AI$13,IF(AM$155=3,AM$13,IF(AQ$155=3,AQ$13,IF(AU$155=3,AU$13,IF(AY$155=3,AY$13,IF(BC$155=3,BC$13,""))))))))))))</f>
        <v>G</v>
      </c>
      <c r="N166" s="564" t="str">
        <f>IF(K$155=3,K$14,IF(O$155=3,O$14,IF(S$155=3,S$14,IF(W$155=3,W$14,IF(AA$155=3,AA$14,IF(AE$155=3,AE$14,IF(AI$155=3,AI$14,IF(AM$155=3,AM$14,IF(AQ$155=3,AQ$14,IF(AU$155=3,AU$14,IF(AY$155=3,AY$14,IF(BC$155=3,BC$14,""))))))))))))</f>
        <v>Gianluca</v>
      </c>
      <c r="O166" s="566"/>
      <c r="P166" s="427">
        <f>IF($K155=3,$K141,IF($O155=3,$O141,IF($S155=3,$S141,IF($W155=3,$W141,IF($AA155=3,$AA141,IF($AE155=3,$AE141,IF($AI155=3,$AI141,IF($AM155=3,$AM141,IF($AQ155=3,$AQ141,IF($AU155=3,$AU141,IF($AY155=3,$AY141,IF($BC155=3,$BC141,""))))))))))))</f>
        <v>776.51699999999994</v>
      </c>
      <c r="Q166" s="439">
        <f t="shared" si="143"/>
        <v>0.92442499999999994</v>
      </c>
      <c r="T166" s="65" t="s">
        <v>215</v>
      </c>
      <c r="U166" s="66" t="s">
        <v>224</v>
      </c>
      <c r="V166" s="66" t="str">
        <f>IF(K156=3,K13,IF(O$156=3,O$13,IF(S$156=3,S$13,IF(W$156=3,W$13,IF(AA$156=3,AA$13,IF(AE$156=3,AE$13,IF(AI$156=3,AI$13,IF(AM$156=3,AM$13,IF(AQ$156=3,AQ$13,IF(AU$156=3,AU$13,IF(AY$156=3,AY$13,IF(BC$156=3,BC$13,""))))))))))))</f>
        <v>A</v>
      </c>
      <c r="W166" s="576" t="str">
        <f>IF(K156=3,K14,IF(O$156=3,O$14,IF(S$156=3,S$14,IF(W$156=3,W$14,IF(AA$156=3,AA$14,IF(AE$156=3,AE$14,IF(AI$156=3,AI$14,IF(AM$156=3,AM$14,IF(AQ$156=3,AQ$14,IF(AU$156=3,AU$14,IF(AY$156=3,AY$14,IF(BC$156=3,BC$14,""))))))))))))</f>
        <v>Gianni</v>
      </c>
      <c r="X166" s="578"/>
      <c r="Y166" s="181">
        <f>IF($K$156=3,$L$142,IF($O$156=3,$P$142,IF($S$156=3,$T$142,IF($W$156=3,$X$142,IF($AA$156=3,$AB$142,IF($AE$156=3,$AF$142,IF($AI$156=3,$AJ$142,IF($AM$156=3,$AN$142,IF($AQ$156=3,$AR$142,IF($AU$156=3,$AV$142,IF($AY$156=3,$AZ$142,IF($BC$156=3,$BD$142,""))))))))))))</f>
        <v>815.97447291486401</v>
      </c>
      <c r="Z166" s="434">
        <f t="shared" si="144"/>
        <v>0.97139818204150474</v>
      </c>
      <c r="AC166" s="74" t="s">
        <v>215</v>
      </c>
      <c r="AD166" s="75" t="s">
        <v>201</v>
      </c>
      <c r="AE166" s="75" t="str">
        <f>IF(K157=3,K13,IF(O$157=3,O$13,IF(S$157=3,S$13,IF(W$157=3,W$13,IF(AA$157=3,AA$13,IF(AE$157=3,AE$13,IF(AI$157=3,AI$13,IF(AM$157=3,AM$13,IF(AQ$157=3,AQ$13,IF(AU$157=3,AU$13,IF(AY$157=3,AY$13,IF(BC$157=3,BC$13,""))))))))))))</f>
        <v>H</v>
      </c>
      <c r="AF166" s="582" t="str">
        <f>IF(K157=3,K14,IF(O$157=3,O$14,IF(S$157=3,S$14,IF(W$157=3,W$14,IF(AA$157=3,AA$14,IF(AE$157=3,AE$14,IF(AI$157=3,AI$14,IF(AM$157=3,AM$14,IF(AQ$157=3,AQ$14,IF(AU$157=3,AU$14,IF(AY$157=3,AY$14,IF(BC$157=3,BC$14,""))))))))))))</f>
        <v>Claudia</v>
      </c>
      <c r="AG166" s="584"/>
      <c r="AH166" s="425">
        <f>IF($K$157=3,$M$143,IF($O$157=3,$Q$143,IF($S$157=3,$U$143,IF($W$157=3,$Y$143,IF($AA$157=3,$AC$143,IF($AE$157=3,$AG$143,IF($AI$157=3,$AK$143,IF($AM$157=3,$AO$143,IF($AQ$157=3,$AS$143,IF($AU$157=3,$AW$143,IF($AY$157=3,$BA$143,IF($BC$157=3,$BE$143,""))))))))))))</f>
        <v>809.5200000000001</v>
      </c>
      <c r="AI166" s="432">
        <f t="shared" si="145"/>
        <v>0.96371428571428586</v>
      </c>
      <c r="AL166" s="173" t="s">
        <v>215</v>
      </c>
      <c r="AM166" s="174" t="s">
        <v>287</v>
      </c>
      <c r="AN166" s="174" t="str">
        <f>IF(K158=3,K13,IF(O$158=3,O$13,IF(S$158=3,S$13,IF(W$158=3,W$13,IF(AA$158=3,AA$13,IF(AE$158=3,AE$13,IF(AI$158=3,AI$13,IF(AM$158=3,AM$13,IF(AQ$158=3,AQ$13,IF(AU$158=3,AU$13,IF(AY$158=3,AY$13,IF(BC$158=3,BC$13,""))))))))))))</f>
        <v>J</v>
      </c>
      <c r="AO166" s="478" t="str">
        <f>IF(K158=3,K14,IF(O$158=3,O$14,IF(S$158=3,S$14,IF(W$158=3,W$14,IF(AA$158=3,AA$14,IF(AE$158=3,AE$14,IF(AI$158=3,AI$14,IF(AM$158=3,AM$14,IF(AQ$158=3,AQ$14,IF(AU$158=3,AU$14,IF(AY$158=3,AY$14,IF(BC$158=3,BC$14,""))))))))))))</f>
        <v>Emma</v>
      </c>
      <c r="AP166" s="480"/>
      <c r="AQ166" s="174">
        <f>IF($K$158=3,$N$144,IF($O$158=3,$R$144,IF($S$158=3,$V$144,IF($W$158=3,$Z$144,IF($AA$158=3,$AD$144,IF($AE$158=3,$AH$144,IF($AI$158=3,$AL$144,IF($AM$158=3,$AP$144,IF($AQ$158=3,$AT$144,IF($AU$158=3,$AX$144,IF($AY$158=3,$BB$144,IF($BC$158=3,$BF$144,""))))))))))))</f>
        <v>779.31000000000006</v>
      </c>
      <c r="AR166" s="437">
        <f t="shared" si="146"/>
        <v>0.92775000000000007</v>
      </c>
    </row>
    <row r="167" spans="2:58" x14ac:dyDescent="0.3">
      <c r="K167" s="56" t="s">
        <v>216</v>
      </c>
      <c r="L167" s="57" t="s">
        <v>222</v>
      </c>
      <c r="M167" s="57" t="str">
        <f>IF(K155=4,K13,IF(O$155=4,O$13,IF(S$155=4,S$13,IF(W$155=4,W$13,IF(AA$155=4,AA$13,IF(AE$155=4,AE$13,IF(AI$155=4,AI$13,IF(AM$155=4,AM$13,IF(AQ$155=4,AQ$13,IF(AU$155=4,AU$13,IF(AY$155=4,AY$13,IF(BC$155=4,BC$13,""))))))))))))</f>
        <v>D</v>
      </c>
      <c r="N167" s="564" t="str">
        <f>IF(K$155=4,K$14,IF(O$155=4,O$14,IF(S$155=4,S$14,IF(W$155=4,W$14,IF(AA$155=4,AA$14,IF(AE$155=4,AE$14,IF(AI$155=4,AI$14,IF(AM$155=4,AM$14,IF(AQ$155=4,AQ$14,IF(AU$155=4,AU$14,IF(AY$155=4,AY$14,IF(BC$155=4,BC$14,""))))))))))))</f>
        <v>Alessandro</v>
      </c>
      <c r="O167" s="566"/>
      <c r="P167" s="427">
        <f>IF($K155=4,$K141,IF($O155=4,$O141,IF($S155=4,$S141,IF($W155=4,$W141,IF($AA155=4,$AA141,IF($AE155=4,$AE141,IF($AI155=4,$AI141,IF($AM155=4,$AM141,IF($AQ155=4,$AQ141,IF($AU155=4,$AU141,IF($AY155=4,$AY141,IF($BC155=4,$BC141,""))))))))))))</f>
        <v>755.49599999999998</v>
      </c>
      <c r="Q167" s="439">
        <f t="shared" si="143"/>
        <v>0.89939999999999998</v>
      </c>
      <c r="T167" s="65" t="s">
        <v>216</v>
      </c>
      <c r="U167" s="66" t="s">
        <v>186</v>
      </c>
      <c r="V167" s="66" t="str">
        <f>IF(K156=4,K13,IF(O$156=4,O$13,IF(S$156=4,S$13,IF(W$156=4,W$13,IF(AA$156=4,AA$13,IF(AE$156=4,AE$13,IF(AI$156=4,AI$13,IF(AM$156=4,AM$13,IF(AQ$156=4,AQ$13,IF(AU$156=4,AU$13,IF(AY$156=4,AY$13,IF(BC$156=4,BC$13,""))))))))))))</f>
        <v>D</v>
      </c>
      <c r="W167" s="576" t="str">
        <f>IF(K156=4,K14,IF(O$156=4,O$14,IF(S$156=4,S$14,IF(W$156=4,W$14,IF(AA$156=4,AA$14,IF(AE$156=4,AE$14,IF(AI$156=4,AI$14,IF(AM$156=4,AM$14,IF(AQ$156=4,AQ$14,IF(AU$156=4,AU$14,IF(AY$156=4,AY$14,IF(BC$156=4,BC$14,""))))))))))))</f>
        <v>Alessandro</v>
      </c>
      <c r="X167" s="578"/>
      <c r="Y167" s="181">
        <f>IF($K$156=4,$L$142,IF($O$156=4,$P$142,IF($S$156=4,$T$142,IF($W$156=4,$X$142,IF($AA$156=4,$AB$142,IF($AE$156=4,$AF$142,IF($AI$156=4,$AJ$142,IF($AM$156=4,$AN$142,IF($AQ$156=4,$AR$142,IF($AU$156=4,$AV$142,IF($AY$156=4,$AZ$142,IF($BC$156=4,$BD$142,""))))))))))))</f>
        <v>806.12569016897078</v>
      </c>
      <c r="Z167" s="434">
        <f t="shared" si="144"/>
        <v>0.95967344067734617</v>
      </c>
      <c r="AC167" s="74" t="s">
        <v>216</v>
      </c>
      <c r="AD167" s="75" t="s">
        <v>199</v>
      </c>
      <c r="AE167" s="75" t="str">
        <f>IF(K157=4,K13,IF(O$157=4,O$13,IF(S$157=4,S$13,IF(W$157=4,W$13,IF(AA$157=4,AA$13,IF(AE$157=4,AE$13,IF(AI$157=4,AI$13,IF(AM$157=4,AM$13,IF(AQ$157=4,AQ$13,IF(AU$157=4,AU$13,IF(AY$157=4,AY$13,IF(BC$157=4,BC$13,""))))))))))))</f>
        <v>D</v>
      </c>
      <c r="AF167" s="582" t="str">
        <f>IF(K157=4,K14,IF(O$157=4,O$14,IF(S$157=4,S$14,IF(W$157=4,W$14,IF(AA$157=4,AA$14,IF(AE$157=4,AE$14,IF(AI$157=4,AI$14,IF(AM$157=4,AM$14,IF(AQ$157=4,AQ$14,IF(AU$157=4,AU$14,IF(AY$157=4,AY$14,IF(BC$157=4,BC$14,""))))))))))))</f>
        <v>Alessandro</v>
      </c>
      <c r="AG167" s="584"/>
      <c r="AH167" s="425">
        <f>IF($K$157=4,$M$143,IF($O$157=4,$Q$143,IF($S$157=4,$U$143,IF($W$157=4,$Y$143,IF($AA$157=4,$AC$143,IF($AE$157=4,$AG$143,IF($AI$157=4,$AK$143,IF($AM$157=4,$AO$143,IF($AQ$157=4,$AS$143,IF($AU$157=4,$AW$143,IF($AY$157=4,$BA$143,IF($BC$157=4,$BE$143,""))))))))))))</f>
        <v>704.47500000000002</v>
      </c>
      <c r="AI167" s="432">
        <f t="shared" si="145"/>
        <v>0.83866071428571431</v>
      </c>
      <c r="AL167" s="173" t="s">
        <v>216</v>
      </c>
      <c r="AM167" s="174" t="s">
        <v>288</v>
      </c>
      <c r="AN167" s="174" t="str">
        <f>IF(K158=4,K13,IF(O$158=4,O$13,IF(S$158=4,S$13,IF(W$158=4,W$13,IF(AA$158=4,AA$13,IF(AE$158=4,AE$13,IF(AI$158=4,AI$13,IF(AM$158=4,AM$13,IF(AQ$158=4,AQ$13,IF(AU$158=4,AU$13,IF(AY$158=4,AY$13,IF(BC$158=4,BC$13,""))))))))))))</f>
        <v>C</v>
      </c>
      <c r="AO167" s="478" t="str">
        <f>IF(K158=4,K14,IF(O$158=4,O$14,IF(S$158=4,S$14,IF(W$158=4,W$14,IF(AA$158=4,AA$14,IF(AE$158=4,AE$14,IF(AI$158=4,AI$14,IF(AM$158=4,AM$14,IF(AQ$158=4,AQ$14,IF(AU$158=4,AU$14,IF(AY$158=4,AY$14,IF(BC$158=4,BC$14,""))))))))))))</f>
        <v>Pietro</v>
      </c>
      <c r="AP167" s="480"/>
      <c r="AQ167" s="174">
        <f>IF($K$158=4,$N$144,IF($O$158=4,$R$144,IF($S$158=4,$V$144,IF($W$158=4,$Z$144,IF($AA$158=4,$AD$144,IF($AE$158=4,$AH$144,IF($AI$158=4,$AL$144,IF($AM$158=4,$AP$144,IF($AQ$158=4,$AT$144,IF($AU$158=4,$AX$144,IF($AY$158=4,$BB$144,IF($BC$158=4,$BF$144,""))))))))))))</f>
        <v>719.4</v>
      </c>
      <c r="AR167" s="437">
        <f t="shared" si="146"/>
        <v>0.85642857142857143</v>
      </c>
    </row>
    <row r="168" spans="2:58" ht="14.5" thickBot="1" x14ac:dyDescent="0.35">
      <c r="K168" s="59" t="s">
        <v>217</v>
      </c>
      <c r="L168" s="60" t="s">
        <v>223</v>
      </c>
      <c r="M168" s="60" t="str">
        <f>IF(K155=5,K13,IF(O$155=5,O$13,IF(S$155=5,S$13,IF(W$155=5,W$13,IF(AA$155=5,AA$13,IF(AE$155=5,AE$13,IF(AI$155=5,AI$13,IF(AM$155=5,AM$13,IF(AQ$155=5,AQ$13,IF(AU$155=5,AU$13,IF(AY$155=5,AY$13,IF(BC$155=5,BC$13,""))))))))))))</f>
        <v>C</v>
      </c>
      <c r="N168" s="567" t="str">
        <f>IF(K$155=5,K$14,IF(O$155=5,O$14,IF(S$155=5,S$14,IF(W$155=5,W$14,IF(AA$155=5,AA$14,IF(AE$155=5,AE$14,IF(AI$155=5,AI$14,IF(AM$155=5,AM$14,IF(AQ$155=5,AQ$14,IF(AU$155=5,AU$14,IF(AY$155=5,AY$14,IF(BC$155=5,BC$14,""))))))))))))</f>
        <v>Pietro</v>
      </c>
      <c r="O168" s="569"/>
      <c r="P168" s="428">
        <f>IF($K155=5,$K141,IF($O155=5,$O141,IF($S155=5,$S141,IF($W155=5,$W141,IF($AA155=5,$AA141,IF($AE155=5,$AE141,IF($AI155=5,$AI141,IF($AM155=5,$AM141,IF($AQ155=5,$AQ141,IF($AU155=5,$AU141,IF($AY155=5,$AY141,IF($BC155=5,$BC141,""))))))))))))</f>
        <v>713.45399999999995</v>
      </c>
      <c r="Q168" s="440">
        <f t="shared" si="143"/>
        <v>0.84934999999999994</v>
      </c>
      <c r="T168" s="65" t="s">
        <v>217</v>
      </c>
      <c r="U168" s="66" t="s">
        <v>187</v>
      </c>
      <c r="V168" s="66" t="str">
        <f>IF(K156=5,K13,IF(O$156=5,O$13,IF(S$156=5,S$13,IF(W$156=5,W$13,IF(AA$156=5,AA$13,IF(AE$156=5,AE$13,IF(AI$156=5,AI$13,IF(AM$156=5,AM$13,IF(AQ$156=5,AQ$13,IF(AU$156=5,AU$13,IF(AY$156=5,AY$13,IF(BC$156=5,BC$13,""))))))))))))</f>
        <v>G</v>
      </c>
      <c r="W168" s="576" t="str">
        <f>IF(K156=5,K14,IF(O$156=5,O$14,IF(S$156=5,S$14,IF(W$156=5,W$14,IF(AA$156=5,AA$14,IF(AE$156=5,AE$14,IF(AI$156=5,AI$14,IF(AM$156=5,AM$14,IF(AQ$156=5,AQ$14,IF(AU$156=5,AU$14,IF(AY$156=5,AY$14,IF(BC$156=5,BC$14,""))))))))))))</f>
        <v>Gianluca</v>
      </c>
      <c r="X168" s="578"/>
      <c r="Y168" s="181">
        <f>IF($K$156=5,$L$142,IF($O$156=5,$P$142,IF($S$156=5,$T$142,IF($W$156=5,$X$142,IF($AA$156=5,$AB$142,IF($AE$156=5,$AF$142,IF($AI$156=5,$AJ$142,IF($AM$156=5,$AN$142,IF($AQ$156=5,$AR$142,IF($AU$156=5,$AV$142,IF($AY$156=5,$AZ$142,IF($BC$156=5,$BD$142,""))))))))))))</f>
        <v>781.55463202884948</v>
      </c>
      <c r="Z168" s="434">
        <f t="shared" si="144"/>
        <v>0.93042218098672558</v>
      </c>
      <c r="AC168" s="74" t="s">
        <v>217</v>
      </c>
      <c r="AD168" s="75" t="s">
        <v>200</v>
      </c>
      <c r="AE168" s="75" t="str">
        <f>IF(K157=5,K13,IF(O$157=5,O$13,IF(S$157=5,S$13,IF(W$157=5,W$13,IF(AA$157=5,AA$13,IF(AE$157=5,AE$13,IF(AI$157=5,AI$13,IF(AM$157=5,AM$13,IF(AQ$157=5,AQ$13,IF(AU$157=5,AU$13,IF(AY$157=5,AY$13,IF(BC$157=5,BC$13,""))))))))))))</f>
        <v>I</v>
      </c>
      <c r="AF168" s="582" t="str">
        <f>IF(K157=5,K14,IF(O$157=5,O$14,IF(S$157=5,S$14,IF(W$157=5,W$14,IF(AA$157=5,AA$14,IF(AE$157=5,AE$14,IF(AI$157=5,AI$14,IF(AM$157=5,AM$14,IF(AQ$157=5,AQ$14,IF(AU$157=5,AU$14,IF(AY$157=5,AY$14,IF(BC$157=5,BC$14,""))))))))))))</f>
        <v>Matheus</v>
      </c>
      <c r="AG168" s="584"/>
      <c r="AH168" s="425">
        <f>IF($K$157=5,$M$143,IF($O$157=5,$Q$143,IF($S$157=5,$U$143,IF($W$157=5,$Y$143,IF($AA$157=5,$AC$143,IF($AE$157=5,$AG$143,IF($AI$157=5,$AK$143,IF($AM$157=5,$AO$143,IF($AQ$157=5,$AS$143,IF($AU$157=5,$AW$143,IF($AY$157=5,$BA$143,IF($BC$157=5,$BE$143,""))))))))))))</f>
        <v>704.25</v>
      </c>
      <c r="AI168" s="430">
        <f t="shared" si="145"/>
        <v>0.83839285714285716</v>
      </c>
      <c r="AL168" s="173" t="s">
        <v>217</v>
      </c>
      <c r="AM168" s="174" t="s">
        <v>289</v>
      </c>
      <c r="AN168" s="174" t="str">
        <f>IF(K158=5,K13,IF(O$158=5,O$13,IF(S$158=5,S$13,IF(W$158=5,W$13,IF(AA$158=5,AA$13,IF(AE$158=5,AE$13,IF(AI$158=5,AI$13,IF(AM$158=5,AM$13,IF(AQ$158=5,AQ$13,IF(AU$158=5,AU$13,IF(AY$158=5,AY$13,IF(BC$158=5,BC$13,""))))))))))))</f>
        <v>A</v>
      </c>
      <c r="AO168" s="478" t="str">
        <f>IF(K158=5,K14,IF(O$158=5,O$14,IF(S$158=5,S$14,IF(W$158=5,W$14,IF(AA$158=5,AA$14,IF(AE$158=5,AE$14,IF(AI$158=5,AI$14,IF(AM$158=5,AM$14,IF(AQ$158=5,AQ$14,IF(AU$158=5,AU$14,IF(AY$158=5,AY$14,IF(BC$158=5,BC$14,""))))))))))))</f>
        <v>Gianni</v>
      </c>
      <c r="AP168" s="480"/>
      <c r="AQ168" s="174">
        <f>IF($K$158=5,$N$144,IF($O$158=5,$R$144,IF($S$158=5,$V$144,IF($W$158=5,$Z$144,IF($AA$158=5,$AD$144,IF($AE$158=5,$AH$144,IF($AI$158=5,$AL$144,IF($AM$158=5,$AP$144,IF($AQ$158=5,$AT$144,IF($AU$158=5,$AX$144,IF($AY$158=5,$BB$144,IF($BC$158=5,$BF$144,""))))))))))))</f>
        <v>689.4</v>
      </c>
      <c r="AR168" s="437">
        <f t="shared" si="146"/>
        <v>0.82071428571428573</v>
      </c>
    </row>
    <row r="169" spans="2:58" ht="14.5" thickBot="1" x14ac:dyDescent="0.35">
      <c r="L169" s="1"/>
      <c r="M169" s="1"/>
      <c r="N169" s="1"/>
      <c r="T169" s="68" t="s">
        <v>218</v>
      </c>
      <c r="U169" s="69" t="s">
        <v>188</v>
      </c>
      <c r="V169" s="69" t="str">
        <f>IF(K156=6,K13,IF(O$156=6,O$13,IF(S$156=6,S$13,IF(W$156=6,W$13,IF(AA$156=6,AA$13,IF(AE$156=6,AE$13,IF(AI$156=6,AI$13,IF(AM$156=6,AM$13,IF(AQ$156=6,AQ$13,IF(AU$156=6,AU$13,IF(AY$156=6,AY$13,IF(BC$156=6,BC$13,""))))))))))))</f>
        <v>C</v>
      </c>
      <c r="W169" s="659" t="str">
        <f>IF(K156=6,K14,IF(O$156=6,O$14,IF(S$156=6,S$14,IF(W$156=6,W$14,IF(AA$156=6,AA$14,IF(AE$156=6,AE$14,IF(AI$156=6,AI$14,IF(AM$156=6,AM$14,IF(AQ$156=6,AQ$14,IF(AU$156=6,AU$14,IF(AY$156=6,AY$14,IF(BC$156=6,BC$14,""))))))))))))</f>
        <v>Pietro</v>
      </c>
      <c r="X169" s="661"/>
      <c r="Y169" s="423">
        <f>IF($K$156=6,$L$142,IF($O$156=6,$P$142,IF($S$156=6,$T$142,IF($W$156=6,$X$142,IF($AA$156=6,$AB$142,IF($AE$156=6,$AF$142,IF($AI$156=6,$AJ$142,IF($AM$156=6,$AN$142,IF($AQ$156=6,$AR$142,IF($AU$156=6,$AV$142,IF($AY$156=6,$AZ$142,IF($BC$156=6,$BD$142,""))))))))))))</f>
        <v>757.86083289301882</v>
      </c>
      <c r="Z169" s="435">
        <f t="shared" si="144"/>
        <v>0.90221527725359385</v>
      </c>
      <c r="AC169" s="77" t="s">
        <v>218</v>
      </c>
      <c r="AD169" s="83" t="s">
        <v>202</v>
      </c>
      <c r="AE169" s="83" t="str">
        <f>IF(K157=6,K13,IF(O$157=6,O$13,IF(S$157=6,S$13,IF(W$157=6,W$13,IF(AA$157=6,AA$13,IF(AE$157=6,AE$13,IF(AI$157=6,AI$13,IF(AM$157=6,AM$13,IF(AQ$157=6,AQ$13,IF(AU$157=6,AU$13,IF(AY$157=6,AY$13,IF(BC$157=6,BC$13,""))))))))))))</f>
        <v>F</v>
      </c>
      <c r="AF169" s="530" t="str">
        <f>IF(K157=6,K14,IF(O$157=6,O$14,IF(S$157=6,S$14,IF(W$157=6,W$14,IF(AA$157=6,AA$14,IF(AE$157=6,AE$14,IF(AI$157=6,AI$14,IF(AM$157=6,AM$14,IF(AQ$157=6,AQ$14,IF(AU$157=6,AU$14,IF(AY$157=6,AY$14,IF(BC$157=6,BC$14,""))))))))))))</f>
        <v>Massimo</v>
      </c>
      <c r="AG169" s="532"/>
      <c r="AH169" s="426">
        <f>IF($K$157=6,$M$143,IF($O$157=6,$Q$143,IF($S$157=6,$U$143,IF($W$157=6,$Y$143,IF($AA$157=6,$AC$143,IF($AE$157=6,$AG$143,IF($AI$157=6,$AK$143,IF($AM$157=6,$AO$143,IF($AQ$157=6,$AS$143,IF($AU$157=6,$AW$143,IF($AY$157=6,$BA$143,IF($BC$157=6,$BE$143,""))))))))))))</f>
        <v>644.46</v>
      </c>
      <c r="AI169" s="431">
        <f t="shared" si="145"/>
        <v>0.76721428571428574</v>
      </c>
      <c r="AL169" s="175" t="s">
        <v>218</v>
      </c>
      <c r="AM169" s="176" t="s">
        <v>290</v>
      </c>
      <c r="AN169" s="176" t="s">
        <v>5</v>
      </c>
      <c r="AO169" s="481" t="s">
        <v>310</v>
      </c>
      <c r="AP169" s="483"/>
      <c r="AQ169" s="176">
        <v>689.4</v>
      </c>
      <c r="AR169" s="438">
        <f t="shared" si="146"/>
        <v>0.82071428571428573</v>
      </c>
    </row>
    <row r="170" spans="2:58" x14ac:dyDescent="0.3">
      <c r="L170" s="1"/>
      <c r="M170" s="1"/>
      <c r="N170" s="1"/>
    </row>
    <row r="171" spans="2:58" x14ac:dyDescent="0.3">
      <c r="L171" s="1"/>
      <c r="M171" s="1"/>
      <c r="N171" s="1"/>
    </row>
    <row r="172" spans="2:58" x14ac:dyDescent="0.3">
      <c r="L172" s="1"/>
      <c r="M172" s="1"/>
      <c r="N172" s="1"/>
    </row>
    <row r="173" spans="2:58" x14ac:dyDescent="0.3">
      <c r="L173" s="1"/>
      <c r="M173" s="1"/>
      <c r="N173" s="1"/>
    </row>
    <row r="174" spans="2:58" ht="14.5" thickBot="1" x14ac:dyDescent="0.35">
      <c r="L174" s="1"/>
      <c r="M174" s="1"/>
      <c r="N174" s="1"/>
    </row>
    <row r="175" spans="2:58" ht="29.5" customHeight="1" thickBot="1" x14ac:dyDescent="0.35">
      <c r="B175" s="548" t="s">
        <v>227</v>
      </c>
      <c r="C175" s="549"/>
      <c r="D175" s="549"/>
      <c r="E175" s="549"/>
      <c r="F175" s="549"/>
      <c r="G175" s="549"/>
      <c r="H175" s="549"/>
      <c r="I175" s="549"/>
      <c r="J175" s="549"/>
      <c r="K175" s="549"/>
      <c r="L175" s="549"/>
      <c r="M175" s="549"/>
      <c r="N175" s="549"/>
      <c r="O175" s="549"/>
      <c r="P175" s="549"/>
      <c r="Q175" s="549"/>
      <c r="R175" s="549"/>
      <c r="S175" s="549"/>
      <c r="T175" s="549"/>
      <c r="U175" s="549"/>
      <c r="V175" s="549"/>
      <c r="W175" s="549"/>
      <c r="X175" s="549"/>
      <c r="Y175" s="549"/>
      <c r="Z175" s="549"/>
      <c r="AA175" s="549"/>
      <c r="AB175" s="549"/>
      <c r="AC175" s="549"/>
      <c r="AD175" s="549"/>
      <c r="AE175" s="549"/>
      <c r="AF175" s="549"/>
      <c r="AG175" s="549"/>
      <c r="AH175" s="549"/>
      <c r="AI175" s="549"/>
      <c r="AJ175" s="549"/>
      <c r="AK175" s="549"/>
      <c r="AL175" s="549"/>
      <c r="AM175" s="549"/>
      <c r="AN175" s="549"/>
      <c r="AO175" s="549"/>
      <c r="AP175" s="549"/>
      <c r="AQ175" s="549"/>
      <c r="AR175" s="549"/>
      <c r="AS175" s="549"/>
      <c r="AT175" s="549"/>
      <c r="AU175" s="549"/>
      <c r="AV175" s="549"/>
      <c r="AW175" s="549"/>
      <c r="AX175" s="549"/>
      <c r="AY175" s="549"/>
      <c r="AZ175" s="549"/>
      <c r="BA175" s="549"/>
      <c r="BB175" s="549"/>
      <c r="BC175" s="549"/>
      <c r="BD175" s="549"/>
      <c r="BE175" s="549"/>
      <c r="BF175" s="550"/>
    </row>
    <row r="176" spans="2:58" ht="14" customHeight="1" x14ac:dyDescent="0.3">
      <c r="B176" s="735" t="s">
        <v>331</v>
      </c>
      <c r="C176" s="665" t="s">
        <v>152</v>
      </c>
      <c r="D176" s="250" t="s">
        <v>17</v>
      </c>
      <c r="E176" s="251" t="s">
        <v>177</v>
      </c>
      <c r="F176" s="252" t="s">
        <v>176</v>
      </c>
      <c r="G176" s="251" t="str">
        <f>VLOOKUP(MID(E176,1,2),L$164:M$168,2,FALSE) &amp; " " &amp; VLOOKUP(MID(E176,4,2),L$164:M$168,2,FALSE)</f>
        <v>F B</v>
      </c>
      <c r="H176" s="252" t="str">
        <f>VLOOKUP(MID(F176,1,2),L$164:M$168,2,FALSE) &amp; " " &amp; VLOOKUP(MID(F176,4,2),L$164:M$168,2,FALSE)</f>
        <v>G D</v>
      </c>
      <c r="I176" s="253">
        <v>2</v>
      </c>
      <c r="J176" s="254">
        <v>5</v>
      </c>
      <c r="K176" s="46" t="str">
        <f>IF(ISNUMBER(FIND(K$13,$G176)),$I176,IF(ISNUMBER(FIND(K$13,$H176)),$J176,""))</f>
        <v/>
      </c>
      <c r="L176" s="47"/>
      <c r="M176" s="47"/>
      <c r="N176" s="48"/>
      <c r="O176" s="46">
        <f t="shared" ref="O176:O180" si="147">IF(ISNUMBER(FIND(O$13,$G176)),$I176,IF(ISNUMBER(FIND(O$13,$H176)),$J176,""))</f>
        <v>2</v>
      </c>
      <c r="P176" s="47"/>
      <c r="Q176" s="47"/>
      <c r="R176" s="48"/>
      <c r="S176" s="46" t="str">
        <f t="shared" ref="S176:S180" si="148">IF(ISNUMBER(FIND(S$13,$G176)),$I176,IF(ISNUMBER(FIND(S$13,$H176)),$J176,""))</f>
        <v/>
      </c>
      <c r="T176" s="47"/>
      <c r="U176" s="47"/>
      <c r="V176" s="48"/>
      <c r="W176" s="46">
        <f t="shared" ref="W176:W180" si="149">IF(ISNUMBER(FIND(W$13,$G176)),$I176,IF(ISNUMBER(FIND(W$13,$H176)),$J176,""))</f>
        <v>5</v>
      </c>
      <c r="X176" s="47"/>
      <c r="Y176" s="47"/>
      <c r="Z176" s="48"/>
      <c r="AA176" s="46" t="str">
        <f t="shared" ref="AA176:AA180" si="150">IF(ISNUMBER(FIND(AA$13,$G176)),$I176,IF(ISNUMBER(FIND(AA$13,$H176)),$J176,""))</f>
        <v/>
      </c>
      <c r="AB176" s="47"/>
      <c r="AC176" s="47"/>
      <c r="AD176" s="48"/>
      <c r="AE176" s="46">
        <f t="shared" ref="AE176:AE180" si="151">IF(ISNUMBER(FIND(AE$13,$G176)),$I176,IF(ISNUMBER(FIND(AE$13,$H176)),$J176,""))</f>
        <v>2</v>
      </c>
      <c r="AF176" s="47"/>
      <c r="AG176" s="47"/>
      <c r="AH176" s="48"/>
      <c r="AI176" s="46">
        <f t="shared" ref="AI176:AI180" si="152">IF(ISNUMBER(FIND(AI$13,$G176)),$I176,IF(ISNUMBER(FIND(AI$13,$H176)),$J176,""))</f>
        <v>5</v>
      </c>
      <c r="AJ176" s="47"/>
      <c r="AK176" s="47"/>
      <c r="AL176" s="48"/>
      <c r="AM176" s="46" t="str">
        <f t="shared" ref="AM176:AM180" si="153">IF(ISNUMBER(FIND(AM$13,$G176)),$I176,IF(ISNUMBER(FIND(AM$13,$H176)),$J176,""))</f>
        <v/>
      </c>
      <c r="AN176" s="47"/>
      <c r="AO176" s="47"/>
      <c r="AP176" s="48"/>
      <c r="AQ176" s="46" t="str">
        <f t="shared" ref="AQ176:AQ180" si="154">IF(ISNUMBER(FIND(AQ$13,$G176)),$I176,IF(ISNUMBER(FIND(AQ$13,$H176)),$J176,""))</f>
        <v/>
      </c>
      <c r="AR176" s="47"/>
      <c r="AS176" s="47"/>
      <c r="AT176" s="48"/>
      <c r="AU176" s="46" t="str">
        <f t="shared" ref="AU176:AU180" si="155">IF(ISNUMBER(FIND(AU$13,$G176)),$I176,IF(ISNUMBER(FIND(AU$13,$H176)),$J176,""))</f>
        <v/>
      </c>
      <c r="AV176" s="47"/>
      <c r="AW176" s="47"/>
      <c r="AX176" s="48"/>
      <c r="AY176" s="46" t="str">
        <f t="shared" ref="AY176:AY180" si="156">IF(ISNUMBER(FIND(AY$13,$G176)),$I176,IF(ISNUMBER(FIND(AY$13,$H176)),$J176,""))</f>
        <v/>
      </c>
      <c r="AZ176" s="47"/>
      <c r="BA176" s="47"/>
      <c r="BB176" s="48"/>
      <c r="BC176" s="46" t="str">
        <f t="shared" ref="BC176:BC180" si="157">IF(ISNUMBER(FIND(BC$13,$G176)),$I176,IF(ISNUMBER(FIND(BC$13,$H176)),$J176,""))</f>
        <v/>
      </c>
      <c r="BD176" s="47"/>
      <c r="BE176" s="47"/>
      <c r="BF176" s="48"/>
    </row>
    <row r="177" spans="2:58" ht="14" customHeight="1" x14ac:dyDescent="0.3">
      <c r="B177" s="735"/>
      <c r="C177" s="665"/>
      <c r="D177" s="255" t="s">
        <v>18</v>
      </c>
      <c r="E177" s="256" t="s">
        <v>178</v>
      </c>
      <c r="F177" s="257" t="s">
        <v>179</v>
      </c>
      <c r="G177" s="256" t="str">
        <f t="shared" ref="G177:G180" si="158">VLOOKUP(MID(E177,1,2),L$164:M$168,2,FALSE) &amp; " " &amp; VLOOKUP(MID(E177,4,2),L$164:M$168,2,FALSE)</f>
        <v>F G</v>
      </c>
      <c r="H177" s="257" t="str">
        <f t="shared" ref="H177:H180" si="159">VLOOKUP(MID(F177,1,2),L$164:M$168,2,FALSE) &amp; " " &amp; VLOOKUP(MID(F177,4,2),L$164:M$168,2,FALSE)</f>
        <v>B C</v>
      </c>
      <c r="I177" s="256">
        <v>3</v>
      </c>
      <c r="J177" s="257">
        <v>5</v>
      </c>
      <c r="K177" s="86" t="str">
        <f t="shared" ref="K177:K180" si="160">IF(ISNUMBER(FIND(K$13,$G177)),$I177,IF(ISNUMBER(FIND(K$13,$H177)),$J177,""))</f>
        <v/>
      </c>
      <c r="L177" s="47"/>
      <c r="M177" s="47"/>
      <c r="N177" s="48"/>
      <c r="O177" s="46">
        <f t="shared" si="147"/>
        <v>5</v>
      </c>
      <c r="P177" s="47"/>
      <c r="Q177" s="47"/>
      <c r="R177" s="48"/>
      <c r="S177" s="46">
        <f t="shared" si="148"/>
        <v>5</v>
      </c>
      <c r="T177" s="47"/>
      <c r="U177" s="47"/>
      <c r="V177" s="48"/>
      <c r="W177" s="46" t="str">
        <f t="shared" si="149"/>
        <v/>
      </c>
      <c r="X177" s="47"/>
      <c r="Y177" s="47"/>
      <c r="Z177" s="48"/>
      <c r="AA177" s="46" t="str">
        <f t="shared" si="150"/>
        <v/>
      </c>
      <c r="AB177" s="47"/>
      <c r="AC177" s="47"/>
      <c r="AD177" s="48"/>
      <c r="AE177" s="46">
        <f t="shared" si="151"/>
        <v>3</v>
      </c>
      <c r="AF177" s="47"/>
      <c r="AG177" s="47"/>
      <c r="AH177" s="48"/>
      <c r="AI177" s="46">
        <f t="shared" si="152"/>
        <v>3</v>
      </c>
      <c r="AJ177" s="47"/>
      <c r="AK177" s="47"/>
      <c r="AL177" s="48"/>
      <c r="AM177" s="46" t="str">
        <f t="shared" si="153"/>
        <v/>
      </c>
      <c r="AN177" s="47"/>
      <c r="AO177" s="47"/>
      <c r="AP177" s="48"/>
      <c r="AQ177" s="46" t="str">
        <f t="shared" si="154"/>
        <v/>
      </c>
      <c r="AR177" s="47"/>
      <c r="AS177" s="47"/>
      <c r="AT177" s="48"/>
      <c r="AU177" s="46" t="str">
        <f t="shared" si="155"/>
        <v/>
      </c>
      <c r="AV177" s="47"/>
      <c r="AW177" s="47"/>
      <c r="AX177" s="48"/>
      <c r="AY177" s="46" t="str">
        <f t="shared" si="156"/>
        <v/>
      </c>
      <c r="AZ177" s="47"/>
      <c r="BA177" s="47"/>
      <c r="BB177" s="48"/>
      <c r="BC177" s="46" t="str">
        <f t="shared" si="157"/>
        <v/>
      </c>
      <c r="BD177" s="47"/>
      <c r="BE177" s="47"/>
      <c r="BF177" s="48"/>
    </row>
    <row r="178" spans="2:58" ht="14" customHeight="1" x14ac:dyDescent="0.3">
      <c r="B178" s="735"/>
      <c r="C178" s="665"/>
      <c r="D178" s="255" t="s">
        <v>19</v>
      </c>
      <c r="E178" s="256" t="s">
        <v>180</v>
      </c>
      <c r="F178" s="257" t="s">
        <v>181</v>
      </c>
      <c r="G178" s="256" t="str">
        <f t="shared" si="158"/>
        <v>F C</v>
      </c>
      <c r="H178" s="257" t="str">
        <f t="shared" si="159"/>
        <v>B D</v>
      </c>
      <c r="I178" s="256">
        <v>1</v>
      </c>
      <c r="J178" s="257">
        <v>5</v>
      </c>
      <c r="K178" s="86" t="str">
        <f t="shared" si="160"/>
        <v/>
      </c>
      <c r="L178" s="47"/>
      <c r="M178" s="47"/>
      <c r="N178" s="48"/>
      <c r="O178" s="46">
        <f t="shared" si="147"/>
        <v>5</v>
      </c>
      <c r="P178" s="47"/>
      <c r="Q178" s="47"/>
      <c r="R178" s="48"/>
      <c r="S178" s="46">
        <f t="shared" si="148"/>
        <v>1</v>
      </c>
      <c r="T178" s="47"/>
      <c r="U178" s="47"/>
      <c r="V178" s="48"/>
      <c r="W178" s="46">
        <f t="shared" si="149"/>
        <v>5</v>
      </c>
      <c r="X178" s="47"/>
      <c r="Y178" s="47"/>
      <c r="Z178" s="48"/>
      <c r="AA178" s="46" t="str">
        <f t="shared" si="150"/>
        <v/>
      </c>
      <c r="AB178" s="47"/>
      <c r="AC178" s="47"/>
      <c r="AD178" s="48"/>
      <c r="AE178" s="46">
        <f t="shared" si="151"/>
        <v>1</v>
      </c>
      <c r="AF178" s="47"/>
      <c r="AG178" s="47"/>
      <c r="AH178" s="48"/>
      <c r="AI178" s="46" t="str">
        <f t="shared" si="152"/>
        <v/>
      </c>
      <c r="AJ178" s="47"/>
      <c r="AK178" s="47"/>
      <c r="AL178" s="48"/>
      <c r="AM178" s="46" t="str">
        <f t="shared" si="153"/>
        <v/>
      </c>
      <c r="AN178" s="47"/>
      <c r="AO178" s="47"/>
      <c r="AP178" s="48"/>
      <c r="AQ178" s="46" t="str">
        <f t="shared" si="154"/>
        <v/>
      </c>
      <c r="AR178" s="47"/>
      <c r="AS178" s="47"/>
      <c r="AT178" s="48"/>
      <c r="AU178" s="46" t="str">
        <f t="shared" si="155"/>
        <v/>
      </c>
      <c r="AV178" s="47"/>
      <c r="AW178" s="47"/>
      <c r="AX178" s="48"/>
      <c r="AY178" s="46" t="str">
        <f t="shared" si="156"/>
        <v/>
      </c>
      <c r="AZ178" s="47"/>
      <c r="BA178" s="47"/>
      <c r="BB178" s="48"/>
      <c r="BC178" s="46" t="str">
        <f t="shared" si="157"/>
        <v/>
      </c>
      <c r="BD178" s="47"/>
      <c r="BE178" s="47"/>
      <c r="BF178" s="48"/>
    </row>
    <row r="179" spans="2:58" x14ac:dyDescent="0.3">
      <c r="B179" s="735"/>
      <c r="C179" s="665"/>
      <c r="D179" s="255" t="s">
        <v>20</v>
      </c>
      <c r="E179" s="256" t="s">
        <v>182</v>
      </c>
      <c r="F179" s="257" t="s">
        <v>183</v>
      </c>
      <c r="G179" s="256" t="str">
        <f t="shared" si="158"/>
        <v>F D</v>
      </c>
      <c r="H179" s="257" t="str">
        <f t="shared" si="159"/>
        <v>G C</v>
      </c>
      <c r="I179" s="256">
        <v>5</v>
      </c>
      <c r="J179" s="257">
        <v>2</v>
      </c>
      <c r="K179" s="87" t="str">
        <f t="shared" si="160"/>
        <v/>
      </c>
      <c r="L179" s="34"/>
      <c r="M179" s="34"/>
      <c r="N179" s="35"/>
      <c r="O179" s="33" t="str">
        <f t="shared" si="147"/>
        <v/>
      </c>
      <c r="P179" s="34"/>
      <c r="Q179" s="34"/>
      <c r="R179" s="35"/>
      <c r="S179" s="33">
        <f t="shared" si="148"/>
        <v>2</v>
      </c>
      <c r="T179" s="34"/>
      <c r="U179" s="34"/>
      <c r="V179" s="35"/>
      <c r="W179" s="33">
        <f t="shared" si="149"/>
        <v>5</v>
      </c>
      <c r="X179" s="34"/>
      <c r="Y179" s="34"/>
      <c r="Z179" s="35"/>
      <c r="AA179" s="33" t="str">
        <f t="shared" si="150"/>
        <v/>
      </c>
      <c r="AB179" s="34"/>
      <c r="AC179" s="34"/>
      <c r="AD179" s="35"/>
      <c r="AE179" s="33">
        <f t="shared" si="151"/>
        <v>5</v>
      </c>
      <c r="AF179" s="34"/>
      <c r="AG179" s="34"/>
      <c r="AH179" s="35"/>
      <c r="AI179" s="33">
        <f t="shared" si="152"/>
        <v>2</v>
      </c>
      <c r="AJ179" s="34"/>
      <c r="AK179" s="34"/>
      <c r="AL179" s="35"/>
      <c r="AM179" s="33" t="str">
        <f t="shared" si="153"/>
        <v/>
      </c>
      <c r="AN179" s="34"/>
      <c r="AO179" s="34"/>
      <c r="AP179" s="35"/>
      <c r="AQ179" s="33" t="str">
        <f t="shared" si="154"/>
        <v/>
      </c>
      <c r="AR179" s="34"/>
      <c r="AS179" s="34"/>
      <c r="AT179" s="35"/>
      <c r="AU179" s="33" t="str">
        <f t="shared" si="155"/>
        <v/>
      </c>
      <c r="AV179" s="34"/>
      <c r="AW179" s="34"/>
      <c r="AX179" s="35"/>
      <c r="AY179" s="33" t="str">
        <f t="shared" si="156"/>
        <v/>
      </c>
      <c r="AZ179" s="34"/>
      <c r="BA179" s="34"/>
      <c r="BB179" s="35"/>
      <c r="BC179" s="33" t="str">
        <f t="shared" si="157"/>
        <v/>
      </c>
      <c r="BD179" s="34"/>
      <c r="BE179" s="34"/>
      <c r="BF179" s="35"/>
    </row>
    <row r="180" spans="2:58" ht="14.5" thickBot="1" x14ac:dyDescent="0.35">
      <c r="B180" s="735"/>
      <c r="C180" s="666"/>
      <c r="D180" s="258" t="s">
        <v>21</v>
      </c>
      <c r="E180" s="259" t="s">
        <v>184</v>
      </c>
      <c r="F180" s="260" t="s">
        <v>185</v>
      </c>
      <c r="G180" s="259" t="str">
        <f t="shared" si="158"/>
        <v>B G</v>
      </c>
      <c r="H180" s="260" t="str">
        <f t="shared" si="159"/>
        <v>D C</v>
      </c>
      <c r="I180" s="259">
        <v>5</v>
      </c>
      <c r="J180" s="260">
        <v>1</v>
      </c>
      <c r="K180" s="88" t="str">
        <f t="shared" si="160"/>
        <v/>
      </c>
      <c r="L180" s="37"/>
      <c r="M180" s="37"/>
      <c r="N180" s="38"/>
      <c r="O180" s="36">
        <f t="shared" si="147"/>
        <v>5</v>
      </c>
      <c r="P180" s="37"/>
      <c r="Q180" s="37"/>
      <c r="R180" s="38"/>
      <c r="S180" s="36">
        <f t="shared" si="148"/>
        <v>1</v>
      </c>
      <c r="T180" s="37"/>
      <c r="U180" s="37"/>
      <c r="V180" s="38"/>
      <c r="W180" s="36">
        <f t="shared" si="149"/>
        <v>1</v>
      </c>
      <c r="X180" s="37"/>
      <c r="Y180" s="37"/>
      <c r="Z180" s="38"/>
      <c r="AA180" s="36" t="str">
        <f t="shared" si="150"/>
        <v/>
      </c>
      <c r="AB180" s="37"/>
      <c r="AC180" s="37"/>
      <c r="AD180" s="38"/>
      <c r="AE180" s="36" t="str">
        <f t="shared" si="151"/>
        <v/>
      </c>
      <c r="AF180" s="37"/>
      <c r="AG180" s="37"/>
      <c r="AH180" s="38"/>
      <c r="AI180" s="36">
        <f t="shared" si="152"/>
        <v>5</v>
      </c>
      <c r="AJ180" s="37"/>
      <c r="AK180" s="37"/>
      <c r="AL180" s="38"/>
      <c r="AM180" s="36" t="str">
        <f t="shared" si="153"/>
        <v/>
      </c>
      <c r="AN180" s="37"/>
      <c r="AO180" s="37"/>
      <c r="AP180" s="38"/>
      <c r="AQ180" s="36" t="str">
        <f t="shared" si="154"/>
        <v/>
      </c>
      <c r="AR180" s="37"/>
      <c r="AS180" s="37"/>
      <c r="AT180" s="38"/>
      <c r="AU180" s="36" t="str">
        <f t="shared" si="155"/>
        <v/>
      </c>
      <c r="AV180" s="37"/>
      <c r="AW180" s="37"/>
      <c r="AX180" s="38"/>
      <c r="AY180" s="36" t="str">
        <f t="shared" si="156"/>
        <v/>
      </c>
      <c r="AZ180" s="37"/>
      <c r="BA180" s="37"/>
      <c r="BB180" s="38"/>
      <c r="BC180" s="36" t="str">
        <f t="shared" si="157"/>
        <v/>
      </c>
      <c r="BD180" s="37"/>
      <c r="BE180" s="37"/>
      <c r="BF180" s="38"/>
    </row>
    <row r="181" spans="2:58" ht="14" customHeight="1" x14ac:dyDescent="0.3">
      <c r="B181" s="735"/>
      <c r="C181" s="667" t="s">
        <v>164</v>
      </c>
      <c r="D181" s="261" t="s">
        <v>17</v>
      </c>
      <c r="E181" s="262" t="s">
        <v>177</v>
      </c>
      <c r="F181" s="263" t="s">
        <v>176</v>
      </c>
      <c r="G181" s="262" t="str">
        <f>VLOOKUP(MID(E181,1,2),L$164:M$168,2,FALSE) &amp; " " &amp; VLOOKUP(MID(E181,4,2),L$164:M$168,2,FALSE)</f>
        <v>F B</v>
      </c>
      <c r="H181" s="263" t="str">
        <f>VLOOKUP(MID(F181,1,2),L$164:M$168,2,FALSE) &amp; " " &amp; VLOOKUP(MID(F181,4,2),L$164:M$168,2,FALSE)</f>
        <v>G D</v>
      </c>
      <c r="I181" s="89">
        <f>IF(ISNUMBER(I176),I176*42,"")</f>
        <v>84</v>
      </c>
      <c r="J181" s="85">
        <f t="shared" ref="J181:J185" si="161">IF(ISNUMBER(J176),J176*42,"")</f>
        <v>210</v>
      </c>
      <c r="K181" s="31" t="str">
        <f t="shared" ref="K181:K185" si="162">IF(ISNUMBER(K176),K176*63,"")</f>
        <v/>
      </c>
      <c r="L181" s="32"/>
      <c r="M181" s="47"/>
      <c r="N181" s="48"/>
      <c r="O181" s="31">
        <f>IF(ISNUMBER(O176),O176*42,"")</f>
        <v>84</v>
      </c>
      <c r="P181" s="32"/>
      <c r="Q181" s="47"/>
      <c r="R181" s="48"/>
      <c r="S181" s="31" t="str">
        <f t="shared" ref="S181:S185" si="163">IF(ISNUMBER(S176),S176*42,"")</f>
        <v/>
      </c>
      <c r="T181" s="32"/>
      <c r="U181" s="47"/>
      <c r="V181" s="48"/>
      <c r="W181" s="31">
        <f t="shared" ref="W181:W185" si="164">IF(ISNUMBER(W176),W176*42,"")</f>
        <v>210</v>
      </c>
      <c r="X181" s="32"/>
      <c r="Y181" s="47"/>
      <c r="Z181" s="48"/>
      <c r="AA181" s="31" t="str">
        <f t="shared" ref="AA181:AA185" si="165">IF(ISNUMBER(AA176),AA176*42,"")</f>
        <v/>
      </c>
      <c r="AB181" s="32"/>
      <c r="AC181" s="47"/>
      <c r="AD181" s="48"/>
      <c r="AE181" s="31">
        <f t="shared" ref="AE181:AE185" si="166">IF(ISNUMBER(AE176),AE176*42,"")</f>
        <v>84</v>
      </c>
      <c r="AF181" s="32"/>
      <c r="AG181" s="47"/>
      <c r="AH181" s="48"/>
      <c r="AI181" s="31">
        <f t="shared" ref="AI181:AI185" si="167">IF(ISNUMBER(AI176),AI176*42,"")</f>
        <v>210</v>
      </c>
      <c r="AJ181" s="32"/>
      <c r="AK181" s="47"/>
      <c r="AL181" s="48"/>
      <c r="AM181" s="31" t="str">
        <f t="shared" ref="AM181:AM185" si="168">IF(ISNUMBER(AM176),AM176*42,"")</f>
        <v/>
      </c>
      <c r="AN181" s="32"/>
      <c r="AO181" s="47"/>
      <c r="AP181" s="48"/>
      <c r="AQ181" s="31" t="str">
        <f t="shared" ref="AQ181:AQ185" si="169">IF(ISNUMBER(AQ176),AQ176*42,"")</f>
        <v/>
      </c>
      <c r="AR181" s="32"/>
      <c r="AS181" s="47"/>
      <c r="AT181" s="48"/>
      <c r="AU181" s="31" t="str">
        <f t="shared" ref="AU181:AU185" si="170">IF(ISNUMBER(AU176),AU176*42,"")</f>
        <v/>
      </c>
      <c r="AV181" s="32"/>
      <c r="AW181" s="47"/>
      <c r="AX181" s="48"/>
      <c r="AY181" s="31" t="str">
        <f t="shared" ref="AY181:AY185" si="171">IF(ISNUMBER(AY176),AY176*42,"")</f>
        <v/>
      </c>
      <c r="AZ181" s="32"/>
      <c r="BA181" s="47"/>
      <c r="BB181" s="48"/>
      <c r="BC181" s="31" t="str">
        <f t="shared" ref="BC181:BC185" si="172">IF(ISNUMBER(BC176),BC176*42,"")</f>
        <v/>
      </c>
      <c r="BD181" s="32"/>
      <c r="BE181" s="47"/>
      <c r="BF181" s="48"/>
    </row>
    <row r="182" spans="2:58" ht="14" customHeight="1" x14ac:dyDescent="0.3">
      <c r="B182" s="735"/>
      <c r="C182" s="665"/>
      <c r="D182" s="255" t="s">
        <v>18</v>
      </c>
      <c r="E182" s="256" t="s">
        <v>178</v>
      </c>
      <c r="F182" s="257" t="s">
        <v>179</v>
      </c>
      <c r="G182" s="256" t="str">
        <f t="shared" ref="G182:G185" si="173">VLOOKUP(MID(E182,1,2),L$164:M$168,2,FALSE) &amp; " " &amp; VLOOKUP(MID(E182,4,2),L$164:M$168,2,FALSE)</f>
        <v>F G</v>
      </c>
      <c r="H182" s="257" t="str">
        <f t="shared" ref="H182:H185" si="174">VLOOKUP(MID(F182,1,2),L$164:M$168,2,FALSE) &amp; " " &amp; VLOOKUP(MID(F182,4,2),L$164:M$168,2,FALSE)</f>
        <v>B C</v>
      </c>
      <c r="I182" s="89">
        <f t="shared" ref="I182" si="175">IF(ISNUMBER(I177),I177*42,"")</f>
        <v>126</v>
      </c>
      <c r="J182" s="85">
        <f t="shared" si="161"/>
        <v>210</v>
      </c>
      <c r="K182" s="46" t="str">
        <f t="shared" si="162"/>
        <v/>
      </c>
      <c r="L182" s="47"/>
      <c r="M182" s="47"/>
      <c r="N182" s="48"/>
      <c r="O182" s="46">
        <f t="shared" ref="O182:O185" si="176">IF(ISNUMBER(O177),O177*42,"")</f>
        <v>210</v>
      </c>
      <c r="P182" s="47"/>
      <c r="Q182" s="47"/>
      <c r="R182" s="48"/>
      <c r="S182" s="46">
        <f t="shared" si="163"/>
        <v>210</v>
      </c>
      <c r="T182" s="47"/>
      <c r="U182" s="47"/>
      <c r="V182" s="48"/>
      <c r="W182" s="46" t="str">
        <f t="shared" si="164"/>
        <v/>
      </c>
      <c r="X182" s="47"/>
      <c r="Y182" s="47"/>
      <c r="Z182" s="48"/>
      <c r="AA182" s="46" t="str">
        <f t="shared" si="165"/>
        <v/>
      </c>
      <c r="AB182" s="47"/>
      <c r="AC182" s="47"/>
      <c r="AD182" s="48"/>
      <c r="AE182" s="46">
        <f t="shared" si="166"/>
        <v>126</v>
      </c>
      <c r="AF182" s="47"/>
      <c r="AG182" s="47"/>
      <c r="AH182" s="48"/>
      <c r="AI182" s="46">
        <f t="shared" si="167"/>
        <v>126</v>
      </c>
      <c r="AJ182" s="47"/>
      <c r="AK182" s="47"/>
      <c r="AL182" s="48"/>
      <c r="AM182" s="46" t="str">
        <f t="shared" si="168"/>
        <v/>
      </c>
      <c r="AN182" s="47"/>
      <c r="AO182" s="47"/>
      <c r="AP182" s="48"/>
      <c r="AQ182" s="46" t="str">
        <f t="shared" si="169"/>
        <v/>
      </c>
      <c r="AR182" s="47"/>
      <c r="AS182" s="47"/>
      <c r="AT182" s="48"/>
      <c r="AU182" s="46" t="str">
        <f t="shared" si="170"/>
        <v/>
      </c>
      <c r="AV182" s="47"/>
      <c r="AW182" s="47"/>
      <c r="AX182" s="48"/>
      <c r="AY182" s="46" t="str">
        <f t="shared" si="171"/>
        <v/>
      </c>
      <c r="AZ182" s="47"/>
      <c r="BA182" s="47"/>
      <c r="BB182" s="48"/>
      <c r="BC182" s="46" t="str">
        <f t="shared" si="172"/>
        <v/>
      </c>
      <c r="BD182" s="47"/>
      <c r="BE182" s="47"/>
      <c r="BF182" s="48"/>
    </row>
    <row r="183" spans="2:58" ht="14" customHeight="1" x14ac:dyDescent="0.3">
      <c r="B183" s="735"/>
      <c r="C183" s="665"/>
      <c r="D183" s="255" t="s">
        <v>19</v>
      </c>
      <c r="E183" s="256" t="s">
        <v>180</v>
      </c>
      <c r="F183" s="257" t="s">
        <v>181</v>
      </c>
      <c r="G183" s="256" t="str">
        <f t="shared" si="173"/>
        <v>F C</v>
      </c>
      <c r="H183" s="257" t="str">
        <f t="shared" si="174"/>
        <v>B D</v>
      </c>
      <c r="I183" s="89">
        <f t="shared" ref="I183" si="177">IF(ISNUMBER(I178),I178*42,"")</f>
        <v>42</v>
      </c>
      <c r="J183" s="85">
        <f t="shared" si="161"/>
        <v>210</v>
      </c>
      <c r="K183" s="46" t="str">
        <f t="shared" si="162"/>
        <v/>
      </c>
      <c r="L183" s="47"/>
      <c r="M183" s="47"/>
      <c r="N183" s="48"/>
      <c r="O183" s="46">
        <f t="shared" si="176"/>
        <v>210</v>
      </c>
      <c r="P183" s="47"/>
      <c r="Q183" s="47"/>
      <c r="R183" s="48"/>
      <c r="S183" s="46">
        <f t="shared" si="163"/>
        <v>42</v>
      </c>
      <c r="T183" s="47"/>
      <c r="U183" s="47"/>
      <c r="V183" s="48"/>
      <c r="W183" s="46">
        <f t="shared" si="164"/>
        <v>210</v>
      </c>
      <c r="X183" s="47"/>
      <c r="Y183" s="47"/>
      <c r="Z183" s="48"/>
      <c r="AA183" s="46" t="str">
        <f t="shared" si="165"/>
        <v/>
      </c>
      <c r="AB183" s="47"/>
      <c r="AC183" s="47"/>
      <c r="AD183" s="48"/>
      <c r="AE183" s="46">
        <f t="shared" si="166"/>
        <v>42</v>
      </c>
      <c r="AF183" s="47"/>
      <c r="AG183" s="47"/>
      <c r="AH183" s="48"/>
      <c r="AI183" s="46" t="str">
        <f t="shared" si="167"/>
        <v/>
      </c>
      <c r="AJ183" s="47"/>
      <c r="AK183" s="47"/>
      <c r="AL183" s="48"/>
      <c r="AM183" s="46" t="str">
        <f t="shared" si="168"/>
        <v/>
      </c>
      <c r="AN183" s="47"/>
      <c r="AO183" s="47"/>
      <c r="AP183" s="48"/>
      <c r="AQ183" s="46" t="str">
        <f t="shared" si="169"/>
        <v/>
      </c>
      <c r="AR183" s="47"/>
      <c r="AS183" s="47"/>
      <c r="AT183" s="48"/>
      <c r="AU183" s="46" t="str">
        <f t="shared" si="170"/>
        <v/>
      </c>
      <c r="AV183" s="47"/>
      <c r="AW183" s="47"/>
      <c r="AX183" s="48"/>
      <c r="AY183" s="46" t="str">
        <f t="shared" si="171"/>
        <v/>
      </c>
      <c r="AZ183" s="47"/>
      <c r="BA183" s="47"/>
      <c r="BB183" s="48"/>
      <c r="BC183" s="46" t="str">
        <f t="shared" si="172"/>
        <v/>
      </c>
      <c r="BD183" s="47"/>
      <c r="BE183" s="47"/>
      <c r="BF183" s="48"/>
    </row>
    <row r="184" spans="2:58" ht="14" customHeight="1" x14ac:dyDescent="0.3">
      <c r="B184" s="735"/>
      <c r="C184" s="665"/>
      <c r="D184" s="255" t="s">
        <v>20</v>
      </c>
      <c r="E184" s="256" t="s">
        <v>182</v>
      </c>
      <c r="F184" s="257" t="s">
        <v>183</v>
      </c>
      <c r="G184" s="256" t="str">
        <f t="shared" si="173"/>
        <v>F D</v>
      </c>
      <c r="H184" s="257" t="str">
        <f t="shared" si="174"/>
        <v>G C</v>
      </c>
      <c r="I184" s="89">
        <f t="shared" ref="I184" si="178">IF(ISNUMBER(I179),I179*42,"")</f>
        <v>210</v>
      </c>
      <c r="J184" s="85">
        <f t="shared" si="161"/>
        <v>84</v>
      </c>
      <c r="K184" s="33" t="str">
        <f t="shared" si="162"/>
        <v/>
      </c>
      <c r="L184" s="34"/>
      <c r="M184" s="34"/>
      <c r="N184" s="35"/>
      <c r="O184" s="33" t="str">
        <f t="shared" si="176"/>
        <v/>
      </c>
      <c r="P184" s="34"/>
      <c r="Q184" s="34"/>
      <c r="R184" s="35"/>
      <c r="S184" s="33">
        <f t="shared" si="163"/>
        <v>84</v>
      </c>
      <c r="T184" s="34"/>
      <c r="U184" s="34"/>
      <c r="V184" s="35"/>
      <c r="W184" s="33">
        <f t="shared" si="164"/>
        <v>210</v>
      </c>
      <c r="X184" s="34"/>
      <c r="Y184" s="34"/>
      <c r="Z184" s="35"/>
      <c r="AA184" s="33" t="str">
        <f t="shared" si="165"/>
        <v/>
      </c>
      <c r="AB184" s="34"/>
      <c r="AC184" s="34"/>
      <c r="AD184" s="35"/>
      <c r="AE184" s="33">
        <f t="shared" si="166"/>
        <v>210</v>
      </c>
      <c r="AF184" s="34"/>
      <c r="AG184" s="34"/>
      <c r="AH184" s="35"/>
      <c r="AI184" s="33">
        <f t="shared" si="167"/>
        <v>84</v>
      </c>
      <c r="AJ184" s="34"/>
      <c r="AK184" s="34"/>
      <c r="AL184" s="35"/>
      <c r="AM184" s="33" t="str">
        <f t="shared" si="168"/>
        <v/>
      </c>
      <c r="AN184" s="34"/>
      <c r="AO184" s="34"/>
      <c r="AP184" s="35"/>
      <c r="AQ184" s="33" t="str">
        <f t="shared" si="169"/>
        <v/>
      </c>
      <c r="AR184" s="34"/>
      <c r="AS184" s="34"/>
      <c r="AT184" s="35"/>
      <c r="AU184" s="33" t="str">
        <f t="shared" si="170"/>
        <v/>
      </c>
      <c r="AV184" s="34"/>
      <c r="AW184" s="34"/>
      <c r="AX184" s="35"/>
      <c r="AY184" s="33" t="str">
        <f t="shared" si="171"/>
        <v/>
      </c>
      <c r="AZ184" s="34"/>
      <c r="BA184" s="34"/>
      <c r="BB184" s="35"/>
      <c r="BC184" s="33" t="str">
        <f t="shared" si="172"/>
        <v/>
      </c>
      <c r="BD184" s="34"/>
      <c r="BE184" s="34"/>
      <c r="BF184" s="35"/>
    </row>
    <row r="185" spans="2:58" ht="14" customHeight="1" thickBot="1" x14ac:dyDescent="0.35">
      <c r="B185" s="735"/>
      <c r="C185" s="666"/>
      <c r="D185" s="258" t="s">
        <v>21</v>
      </c>
      <c r="E185" s="259" t="s">
        <v>184</v>
      </c>
      <c r="F185" s="260" t="s">
        <v>185</v>
      </c>
      <c r="G185" s="259" t="str">
        <f t="shared" si="173"/>
        <v>B G</v>
      </c>
      <c r="H185" s="260" t="str">
        <f t="shared" si="174"/>
        <v>D C</v>
      </c>
      <c r="I185" s="89">
        <f t="shared" ref="I185" si="179">IF(ISNUMBER(I180),I180*42,"")</f>
        <v>210</v>
      </c>
      <c r="J185" s="85">
        <f t="shared" si="161"/>
        <v>42</v>
      </c>
      <c r="K185" s="36" t="str">
        <f t="shared" si="162"/>
        <v/>
      </c>
      <c r="L185" s="37"/>
      <c r="M185" s="37"/>
      <c r="N185" s="38"/>
      <c r="O185" s="36">
        <f t="shared" si="176"/>
        <v>210</v>
      </c>
      <c r="P185" s="37"/>
      <c r="Q185" s="37"/>
      <c r="R185" s="38"/>
      <c r="S185" s="36">
        <f t="shared" si="163"/>
        <v>42</v>
      </c>
      <c r="T185" s="37"/>
      <c r="U185" s="37"/>
      <c r="V185" s="38"/>
      <c r="W185" s="36">
        <f t="shared" si="164"/>
        <v>42</v>
      </c>
      <c r="X185" s="37"/>
      <c r="Y185" s="37"/>
      <c r="Z185" s="38"/>
      <c r="AA185" s="36" t="str">
        <f t="shared" si="165"/>
        <v/>
      </c>
      <c r="AB185" s="37"/>
      <c r="AC185" s="37"/>
      <c r="AD185" s="38"/>
      <c r="AE185" s="36" t="str">
        <f t="shared" si="166"/>
        <v/>
      </c>
      <c r="AF185" s="37"/>
      <c r="AG185" s="37"/>
      <c r="AH185" s="38"/>
      <c r="AI185" s="36">
        <f t="shared" si="167"/>
        <v>210</v>
      </c>
      <c r="AJ185" s="37"/>
      <c r="AK185" s="37"/>
      <c r="AL185" s="38"/>
      <c r="AM185" s="36" t="str">
        <f t="shared" si="168"/>
        <v/>
      </c>
      <c r="AN185" s="37"/>
      <c r="AO185" s="37"/>
      <c r="AP185" s="38"/>
      <c r="AQ185" s="36" t="str">
        <f t="shared" si="169"/>
        <v/>
      </c>
      <c r="AR185" s="37"/>
      <c r="AS185" s="37"/>
      <c r="AT185" s="38"/>
      <c r="AU185" s="36" t="str">
        <f t="shared" si="170"/>
        <v/>
      </c>
      <c r="AV185" s="37"/>
      <c r="AW185" s="37"/>
      <c r="AX185" s="38"/>
      <c r="AY185" s="36" t="str">
        <f t="shared" si="171"/>
        <v/>
      </c>
      <c r="AZ185" s="37"/>
      <c r="BA185" s="37"/>
      <c r="BB185" s="38"/>
      <c r="BC185" s="36" t="str">
        <f t="shared" si="172"/>
        <v/>
      </c>
      <c r="BD185" s="37"/>
      <c r="BE185" s="37"/>
      <c r="BF185" s="38"/>
    </row>
    <row r="186" spans="2:58" ht="14" customHeight="1" x14ac:dyDescent="0.3">
      <c r="B186" s="735"/>
      <c r="C186" s="668" t="s">
        <v>153</v>
      </c>
      <c r="D186" s="409" t="s">
        <v>173</v>
      </c>
      <c r="E186" s="410" t="s">
        <v>186</v>
      </c>
      <c r="F186" s="411" t="s">
        <v>187</v>
      </c>
      <c r="G186" s="412" t="str">
        <f>VLOOKUP(E186,U$164:V$169,2,FALSE)</f>
        <v>D</v>
      </c>
      <c r="H186" s="413" t="str">
        <f>VLOOKUP(F186,U$164:V$169,2,FALSE)</f>
        <v>G</v>
      </c>
      <c r="I186" s="410">
        <v>147</v>
      </c>
      <c r="J186" s="411">
        <v>124</v>
      </c>
      <c r="K186" s="90"/>
      <c r="L186" s="7" t="str">
        <f>IF(ISNUMBER(FIND(K$13,$G186)),$I186,IF(ISNUMBER(FIND(K$13,$H186)),$J186,""))</f>
        <v/>
      </c>
      <c r="M186" s="47"/>
      <c r="N186" s="48"/>
      <c r="O186" s="40"/>
      <c r="P186" s="39" t="str">
        <f t="shared" ref="P186:P192" si="180">IF(ISNUMBER(FIND(O$13,$G186)),$I186,IF(ISNUMBER(FIND(O$13,$H186)),$J186,""))</f>
        <v/>
      </c>
      <c r="Q186" s="47"/>
      <c r="R186" s="48"/>
      <c r="S186" s="40"/>
      <c r="T186" s="39" t="str">
        <f t="shared" ref="T186:T192" si="181">IF(ISNUMBER(FIND(S$13,$G186)),$I186,IF(ISNUMBER(FIND(S$13,$H186)),$J186,""))</f>
        <v/>
      </c>
      <c r="U186" s="47"/>
      <c r="V186" s="48"/>
      <c r="W186" s="40"/>
      <c r="X186" s="39">
        <f t="shared" ref="X186:X192" si="182">IF(ISNUMBER(FIND(W$13,$G186)),$I186,IF(ISNUMBER(FIND(W$13,$H186)),$J186,""))</f>
        <v>147</v>
      </c>
      <c r="Y186" s="47"/>
      <c r="Z186" s="48"/>
      <c r="AA186" s="40"/>
      <c r="AB186" s="39" t="str">
        <f t="shared" ref="AB186:AB192" si="183">IF(ISNUMBER(FIND(AA$13,$G186)),$I186,IF(ISNUMBER(FIND(AA$13,$H186)),$J186,""))</f>
        <v/>
      </c>
      <c r="AC186" s="47"/>
      <c r="AD186" s="48"/>
      <c r="AE186" s="40"/>
      <c r="AF186" s="39" t="str">
        <f t="shared" ref="AF186:AF192" si="184">IF(ISNUMBER(FIND(AE$13,$G186)),$I186,IF(ISNUMBER(FIND(AE$13,$H186)),$J186,""))</f>
        <v/>
      </c>
      <c r="AG186" s="47"/>
      <c r="AH186" s="48"/>
      <c r="AI186" s="40"/>
      <c r="AJ186" s="39">
        <f t="shared" ref="AJ186:AJ192" si="185">IF(ISNUMBER(FIND(AI$13,$G186)),$I186,IF(ISNUMBER(FIND(AI$13,$H186)),$J186,""))</f>
        <v>124</v>
      </c>
      <c r="AK186" s="47"/>
      <c r="AL186" s="48"/>
      <c r="AM186" s="40"/>
      <c r="AN186" s="39" t="str">
        <f t="shared" ref="AN186:AN192" si="186">IF(ISNUMBER(FIND(AM$13,$G186)),$I186,IF(ISNUMBER(FIND(AM$13,$H186)),$J186,""))</f>
        <v/>
      </c>
      <c r="AO186" s="47"/>
      <c r="AP186" s="48"/>
      <c r="AQ186" s="40"/>
      <c r="AR186" s="39" t="str">
        <f t="shared" ref="AR186:AR192" si="187">IF(ISNUMBER(FIND(AQ$13,$G186)),$I186,IF(ISNUMBER(FIND(AQ$13,$H186)),$J186,""))</f>
        <v/>
      </c>
      <c r="AS186" s="47"/>
      <c r="AT186" s="48"/>
      <c r="AU186" s="40"/>
      <c r="AV186" s="39" t="str">
        <f t="shared" ref="AV186:AV192" si="188">IF(ISNUMBER(FIND(AU$13,$G186)),$I186,IF(ISNUMBER(FIND(AU$13,$H186)),$J186,""))</f>
        <v/>
      </c>
      <c r="AW186" s="47"/>
      <c r="AX186" s="48"/>
      <c r="AY186" s="40"/>
      <c r="AZ186" s="39" t="str">
        <f t="shared" ref="AZ186:AZ192" si="189">IF(ISNUMBER(FIND(AY$13,$G186)),$I186,IF(ISNUMBER(FIND(AY$13,$H186)),$J186,""))</f>
        <v/>
      </c>
      <c r="BA186" s="47"/>
      <c r="BB186" s="48"/>
      <c r="BC186" s="40"/>
      <c r="BD186" s="39" t="str">
        <f t="shared" ref="BD186:BD192" si="190">IF(ISNUMBER(FIND(BC$13,$G186)),$I186,IF(ISNUMBER(FIND(BC$13,$H186)),$J186,""))</f>
        <v/>
      </c>
      <c r="BE186" s="47"/>
      <c r="BF186" s="48"/>
    </row>
    <row r="187" spans="2:58" ht="14" customHeight="1" x14ac:dyDescent="0.3">
      <c r="B187" s="735"/>
      <c r="C187" s="669"/>
      <c r="D187" s="414" t="s">
        <v>174</v>
      </c>
      <c r="E187" s="415" t="s">
        <v>224</v>
      </c>
      <c r="F187" s="416" t="s">
        <v>188</v>
      </c>
      <c r="G187" s="415" t="str">
        <f>VLOOKUP(E187,U$164:V$169,2,FALSE)</f>
        <v>A</v>
      </c>
      <c r="H187" s="416" t="str">
        <f>VLOOKUP(F187,U$164:V$169,2,FALSE)</f>
        <v>C</v>
      </c>
      <c r="I187" s="415">
        <v>83</v>
      </c>
      <c r="J187" s="416">
        <v>159</v>
      </c>
      <c r="K187" s="91"/>
      <c r="L187" s="50">
        <f t="shared" ref="L187:L192" si="191">IF(ISNUMBER(FIND(K$13,$G187)),$I187,IF(ISNUMBER(FIND(K$13,$H187)),$J187,""))</f>
        <v>83</v>
      </c>
      <c r="M187" s="47"/>
      <c r="N187" s="48"/>
      <c r="O187" s="51"/>
      <c r="P187" s="50" t="str">
        <f t="shared" si="180"/>
        <v/>
      </c>
      <c r="Q187" s="47"/>
      <c r="R187" s="48"/>
      <c r="S187" s="51"/>
      <c r="T187" s="50">
        <f t="shared" si="181"/>
        <v>159</v>
      </c>
      <c r="U187" s="47"/>
      <c r="V187" s="48"/>
      <c r="W187" s="51"/>
      <c r="X187" s="50" t="str">
        <f t="shared" si="182"/>
        <v/>
      </c>
      <c r="Y187" s="47"/>
      <c r="Z187" s="48"/>
      <c r="AA187" s="51"/>
      <c r="AB187" s="50" t="str">
        <f t="shared" si="183"/>
        <v/>
      </c>
      <c r="AC187" s="47"/>
      <c r="AD187" s="48"/>
      <c r="AE187" s="51"/>
      <c r="AF187" s="50" t="str">
        <f t="shared" si="184"/>
        <v/>
      </c>
      <c r="AG187" s="47"/>
      <c r="AH187" s="48"/>
      <c r="AI187" s="51"/>
      <c r="AJ187" s="50" t="str">
        <f t="shared" si="185"/>
        <v/>
      </c>
      <c r="AK187" s="47"/>
      <c r="AL187" s="48"/>
      <c r="AM187" s="51"/>
      <c r="AN187" s="50" t="str">
        <f t="shared" si="186"/>
        <v/>
      </c>
      <c r="AO187" s="47"/>
      <c r="AP187" s="48"/>
      <c r="AQ187" s="51"/>
      <c r="AR187" s="50" t="str">
        <f t="shared" si="187"/>
        <v/>
      </c>
      <c r="AS187" s="47"/>
      <c r="AT187" s="48"/>
      <c r="AU187" s="51"/>
      <c r="AV187" s="50" t="str">
        <f t="shared" si="188"/>
        <v/>
      </c>
      <c r="AW187" s="47"/>
      <c r="AX187" s="48"/>
      <c r="AY187" s="51"/>
      <c r="AZ187" s="50" t="str">
        <f t="shared" si="189"/>
        <v/>
      </c>
      <c r="BA187" s="47"/>
      <c r="BB187" s="48"/>
      <c r="BC187" s="51"/>
      <c r="BD187" s="50" t="str">
        <f t="shared" si="190"/>
        <v/>
      </c>
      <c r="BE187" s="47"/>
      <c r="BF187" s="48"/>
    </row>
    <row r="188" spans="2:58" ht="14" customHeight="1" x14ac:dyDescent="0.3">
      <c r="B188" s="735"/>
      <c r="C188" s="669"/>
      <c r="D188" s="417" t="s">
        <v>175</v>
      </c>
      <c r="E188" s="415" t="s">
        <v>189</v>
      </c>
      <c r="F188" s="416" t="s">
        <v>190</v>
      </c>
      <c r="G188" s="415" t="str">
        <f>IF(J186&lt;I186,H186,IF(J186&gt;I186,G186,""))</f>
        <v>G</v>
      </c>
      <c r="H188" s="416" t="str">
        <f>IF(I187&lt;J187,G187,IF(I187&gt;J187,H187,""))</f>
        <v>A</v>
      </c>
      <c r="I188" s="415">
        <v>112</v>
      </c>
      <c r="J188" s="416">
        <v>102</v>
      </c>
      <c r="K188" s="92"/>
      <c r="L188" s="41">
        <f t="shared" si="191"/>
        <v>102</v>
      </c>
      <c r="M188" s="47"/>
      <c r="N188" s="48"/>
      <c r="O188" s="42"/>
      <c r="P188" s="41" t="str">
        <f t="shared" si="180"/>
        <v/>
      </c>
      <c r="Q188" s="47"/>
      <c r="R188" s="48"/>
      <c r="S188" s="42"/>
      <c r="T188" s="41" t="str">
        <f t="shared" si="181"/>
        <v/>
      </c>
      <c r="U188" s="47"/>
      <c r="V188" s="48"/>
      <c r="W188" s="42"/>
      <c r="X188" s="41" t="str">
        <f t="shared" si="182"/>
        <v/>
      </c>
      <c r="Y188" s="47"/>
      <c r="Z188" s="48"/>
      <c r="AA188" s="42"/>
      <c r="AB188" s="41" t="str">
        <f t="shared" si="183"/>
        <v/>
      </c>
      <c r="AC188" s="47"/>
      <c r="AD188" s="48"/>
      <c r="AE188" s="42"/>
      <c r="AF188" s="41" t="str">
        <f t="shared" si="184"/>
        <v/>
      </c>
      <c r="AG188" s="47"/>
      <c r="AH188" s="48"/>
      <c r="AI188" s="42"/>
      <c r="AJ188" s="41">
        <f t="shared" si="185"/>
        <v>112</v>
      </c>
      <c r="AK188" s="47"/>
      <c r="AL188" s="48"/>
      <c r="AM188" s="42"/>
      <c r="AN188" s="41" t="str">
        <f t="shared" si="186"/>
        <v/>
      </c>
      <c r="AO188" s="47"/>
      <c r="AP188" s="48"/>
      <c r="AQ188" s="42"/>
      <c r="AR188" s="41" t="str">
        <f t="shared" si="187"/>
        <v/>
      </c>
      <c r="AS188" s="47"/>
      <c r="AT188" s="48"/>
      <c r="AU188" s="42"/>
      <c r="AV188" s="41" t="str">
        <f t="shared" si="188"/>
        <v/>
      </c>
      <c r="AW188" s="47"/>
      <c r="AX188" s="48"/>
      <c r="AY188" s="42"/>
      <c r="AZ188" s="41" t="str">
        <f t="shared" si="189"/>
        <v/>
      </c>
      <c r="BA188" s="47"/>
      <c r="BB188" s="48"/>
      <c r="BC188" s="42"/>
      <c r="BD188" s="41" t="str">
        <f t="shared" si="190"/>
        <v/>
      </c>
      <c r="BE188" s="47"/>
      <c r="BF188" s="48"/>
    </row>
    <row r="189" spans="2:58" ht="14" customHeight="1" x14ac:dyDescent="0.3">
      <c r="B189" s="735"/>
      <c r="C189" s="669"/>
      <c r="D189" s="417" t="s">
        <v>91</v>
      </c>
      <c r="E189" s="415" t="s">
        <v>191</v>
      </c>
      <c r="F189" s="416" t="s">
        <v>192</v>
      </c>
      <c r="G189" s="415" t="str">
        <f>VLOOKUP(E189,U$164:V$169,2,FALSE)</f>
        <v>F</v>
      </c>
      <c r="H189" s="416" t="str">
        <f>IF(I186&gt;J186,G186,IF(I186&lt;J186,H186,""))</f>
        <v>D</v>
      </c>
      <c r="I189" s="415">
        <v>154</v>
      </c>
      <c r="J189" s="416">
        <v>160</v>
      </c>
      <c r="K189" s="92"/>
      <c r="L189" s="41" t="str">
        <f t="shared" si="191"/>
        <v/>
      </c>
      <c r="M189" s="34"/>
      <c r="N189" s="35"/>
      <c r="O189" s="42"/>
      <c r="P189" s="41" t="str">
        <f t="shared" si="180"/>
        <v/>
      </c>
      <c r="Q189" s="34"/>
      <c r="R189" s="35"/>
      <c r="S189" s="42"/>
      <c r="T189" s="41" t="str">
        <f t="shared" si="181"/>
        <v/>
      </c>
      <c r="U189" s="34"/>
      <c r="V189" s="35"/>
      <c r="W189" s="42"/>
      <c r="X189" s="41">
        <f t="shared" si="182"/>
        <v>160</v>
      </c>
      <c r="Y189" s="34"/>
      <c r="Z189" s="35"/>
      <c r="AA189" s="42"/>
      <c r="AB189" s="41" t="str">
        <f t="shared" si="183"/>
        <v/>
      </c>
      <c r="AC189" s="34"/>
      <c r="AD189" s="35"/>
      <c r="AE189" s="42"/>
      <c r="AF189" s="41">
        <f t="shared" si="184"/>
        <v>154</v>
      </c>
      <c r="AG189" s="34"/>
      <c r="AH189" s="35"/>
      <c r="AI189" s="42"/>
      <c r="AJ189" s="41" t="str">
        <f t="shared" si="185"/>
        <v/>
      </c>
      <c r="AK189" s="34"/>
      <c r="AL189" s="35"/>
      <c r="AM189" s="42"/>
      <c r="AN189" s="41" t="str">
        <f t="shared" si="186"/>
        <v/>
      </c>
      <c r="AO189" s="34"/>
      <c r="AP189" s="35"/>
      <c r="AQ189" s="42"/>
      <c r="AR189" s="41" t="str">
        <f t="shared" si="187"/>
        <v/>
      </c>
      <c r="AS189" s="34"/>
      <c r="AT189" s="35"/>
      <c r="AU189" s="42"/>
      <c r="AV189" s="41" t="str">
        <f t="shared" si="188"/>
        <v/>
      </c>
      <c r="AW189" s="34"/>
      <c r="AX189" s="35"/>
      <c r="AY189" s="42"/>
      <c r="AZ189" s="41" t="str">
        <f t="shared" si="189"/>
        <v/>
      </c>
      <c r="BA189" s="34"/>
      <c r="BB189" s="35"/>
      <c r="BC189" s="42"/>
      <c r="BD189" s="41" t="str">
        <f t="shared" si="190"/>
        <v/>
      </c>
      <c r="BE189" s="34"/>
      <c r="BF189" s="35"/>
    </row>
    <row r="190" spans="2:58" ht="14" customHeight="1" x14ac:dyDescent="0.3">
      <c r="B190" s="735"/>
      <c r="C190" s="669"/>
      <c r="D190" s="417" t="s">
        <v>94</v>
      </c>
      <c r="E190" s="415" t="s">
        <v>193</v>
      </c>
      <c r="F190" s="416" t="s">
        <v>194</v>
      </c>
      <c r="G190" s="415" t="str">
        <f>VLOOKUP(E190,U$164:V$169,2,FALSE)</f>
        <v>E</v>
      </c>
      <c r="H190" s="416" t="str">
        <f>IF(I187&gt;J187,G187,IF(I187&lt;J187,H187,""))</f>
        <v>C</v>
      </c>
      <c r="I190" s="415">
        <v>157</v>
      </c>
      <c r="J190" s="416">
        <v>147</v>
      </c>
      <c r="K190" s="92"/>
      <c r="L190" s="41" t="str">
        <f t="shared" si="191"/>
        <v/>
      </c>
      <c r="M190" s="47"/>
      <c r="N190" s="48"/>
      <c r="O190" s="42"/>
      <c r="P190" s="41" t="str">
        <f t="shared" si="180"/>
        <v/>
      </c>
      <c r="Q190" s="47"/>
      <c r="R190" s="48"/>
      <c r="S190" s="42"/>
      <c r="T190" s="41">
        <f t="shared" si="181"/>
        <v>147</v>
      </c>
      <c r="U190" s="47"/>
      <c r="V190" s="48"/>
      <c r="W190" s="42"/>
      <c r="X190" s="41" t="str">
        <f t="shared" si="182"/>
        <v/>
      </c>
      <c r="Y190" s="47"/>
      <c r="Z190" s="48"/>
      <c r="AA190" s="42"/>
      <c r="AB190" s="41">
        <f t="shared" si="183"/>
        <v>157</v>
      </c>
      <c r="AC190" s="47"/>
      <c r="AD190" s="48"/>
      <c r="AE190" s="42"/>
      <c r="AF190" s="41" t="str">
        <f t="shared" si="184"/>
        <v/>
      </c>
      <c r="AG190" s="47"/>
      <c r="AH190" s="48"/>
      <c r="AI190" s="42"/>
      <c r="AJ190" s="41" t="str">
        <f t="shared" si="185"/>
        <v/>
      </c>
      <c r="AK190" s="47"/>
      <c r="AL190" s="48"/>
      <c r="AM190" s="42"/>
      <c r="AN190" s="41" t="str">
        <f t="shared" si="186"/>
        <v/>
      </c>
      <c r="AO190" s="47"/>
      <c r="AP190" s="48"/>
      <c r="AQ190" s="42"/>
      <c r="AR190" s="41" t="str">
        <f t="shared" si="187"/>
        <v/>
      </c>
      <c r="AS190" s="47"/>
      <c r="AT190" s="48"/>
      <c r="AU190" s="42"/>
      <c r="AV190" s="41" t="str">
        <f t="shared" si="188"/>
        <v/>
      </c>
      <c r="AW190" s="47"/>
      <c r="AX190" s="48"/>
      <c r="AY190" s="42"/>
      <c r="AZ190" s="41" t="str">
        <f t="shared" si="189"/>
        <v/>
      </c>
      <c r="BA190" s="47"/>
      <c r="BB190" s="48"/>
      <c r="BC190" s="42"/>
      <c r="BD190" s="41" t="str">
        <f t="shared" si="190"/>
        <v/>
      </c>
      <c r="BE190" s="47"/>
      <c r="BF190" s="48"/>
    </row>
    <row r="191" spans="2:58" ht="14" customHeight="1" x14ac:dyDescent="0.3">
      <c r="B191" s="735"/>
      <c r="C191" s="669"/>
      <c r="D191" s="417" t="s">
        <v>162</v>
      </c>
      <c r="E191" s="415" t="s">
        <v>195</v>
      </c>
      <c r="F191" s="416" t="s">
        <v>196</v>
      </c>
      <c r="G191" s="415" t="str">
        <f>IF(I189&lt;J189,G189,H189)</f>
        <v>F</v>
      </c>
      <c r="H191" s="416" t="str">
        <f>IF(I190&lt;J190,G190,H190)</f>
        <v>C</v>
      </c>
      <c r="I191" s="415">
        <v>205</v>
      </c>
      <c r="J191" s="416">
        <v>147</v>
      </c>
      <c r="K191" s="92"/>
      <c r="L191" s="41" t="str">
        <f t="shared" si="191"/>
        <v/>
      </c>
      <c r="M191" s="34"/>
      <c r="N191" s="35"/>
      <c r="O191" s="42"/>
      <c r="P191" s="41" t="str">
        <f t="shared" si="180"/>
        <v/>
      </c>
      <c r="Q191" s="34"/>
      <c r="R191" s="35"/>
      <c r="S191" s="42"/>
      <c r="T191" s="41">
        <f t="shared" si="181"/>
        <v>147</v>
      </c>
      <c r="U191" s="34"/>
      <c r="V191" s="35"/>
      <c r="W191" s="42"/>
      <c r="X191" s="41" t="str">
        <f t="shared" si="182"/>
        <v/>
      </c>
      <c r="Y191" s="34"/>
      <c r="Z191" s="35"/>
      <c r="AA191" s="42"/>
      <c r="AB191" s="41" t="str">
        <f t="shared" si="183"/>
        <v/>
      </c>
      <c r="AC191" s="34"/>
      <c r="AD191" s="35"/>
      <c r="AE191" s="42"/>
      <c r="AF191" s="41">
        <f t="shared" si="184"/>
        <v>205</v>
      </c>
      <c r="AG191" s="34"/>
      <c r="AH191" s="35"/>
      <c r="AI191" s="42"/>
      <c r="AJ191" s="41" t="str">
        <f t="shared" si="185"/>
        <v/>
      </c>
      <c r="AK191" s="34"/>
      <c r="AL191" s="35"/>
      <c r="AM191" s="42"/>
      <c r="AN191" s="41" t="str">
        <f t="shared" si="186"/>
        <v/>
      </c>
      <c r="AO191" s="34"/>
      <c r="AP191" s="35"/>
      <c r="AQ191" s="42"/>
      <c r="AR191" s="41" t="str">
        <f t="shared" si="187"/>
        <v/>
      </c>
      <c r="AS191" s="34"/>
      <c r="AT191" s="35"/>
      <c r="AU191" s="42"/>
      <c r="AV191" s="41" t="str">
        <f t="shared" si="188"/>
        <v/>
      </c>
      <c r="AW191" s="34"/>
      <c r="AX191" s="35"/>
      <c r="AY191" s="42"/>
      <c r="AZ191" s="41" t="str">
        <f t="shared" si="189"/>
        <v/>
      </c>
      <c r="BA191" s="34"/>
      <c r="BB191" s="35"/>
      <c r="BC191" s="42"/>
      <c r="BD191" s="41" t="str">
        <f t="shared" si="190"/>
        <v/>
      </c>
      <c r="BE191" s="34"/>
      <c r="BF191" s="35"/>
    </row>
    <row r="192" spans="2:58" ht="14" customHeight="1" thickBot="1" x14ac:dyDescent="0.35">
      <c r="B192" s="735"/>
      <c r="C192" s="670"/>
      <c r="D192" s="418" t="s">
        <v>163</v>
      </c>
      <c r="E192" s="419" t="s">
        <v>197</v>
      </c>
      <c r="F192" s="420" t="s">
        <v>198</v>
      </c>
      <c r="G192" s="419" t="str">
        <f>IF(I189&gt;J189,G189,H189)</f>
        <v>D</v>
      </c>
      <c r="H192" s="420" t="str">
        <f>IF(I190&gt;J190,G190,H190)</f>
        <v>E</v>
      </c>
      <c r="I192" s="419">
        <v>108</v>
      </c>
      <c r="J192" s="420">
        <v>208</v>
      </c>
      <c r="K192" s="93"/>
      <c r="L192" s="43" t="str">
        <f t="shared" si="191"/>
        <v/>
      </c>
      <c r="M192" s="37"/>
      <c r="N192" s="38"/>
      <c r="O192" s="44"/>
      <c r="P192" s="43" t="str">
        <f t="shared" si="180"/>
        <v/>
      </c>
      <c r="Q192" s="37"/>
      <c r="R192" s="38"/>
      <c r="S192" s="44"/>
      <c r="T192" s="43" t="str">
        <f t="shared" si="181"/>
        <v/>
      </c>
      <c r="U192" s="37"/>
      <c r="V192" s="38"/>
      <c r="W192" s="44"/>
      <c r="X192" s="43">
        <f t="shared" si="182"/>
        <v>108</v>
      </c>
      <c r="Y192" s="37"/>
      <c r="Z192" s="38"/>
      <c r="AA192" s="44"/>
      <c r="AB192" s="43">
        <f t="shared" si="183"/>
        <v>208</v>
      </c>
      <c r="AC192" s="37"/>
      <c r="AD192" s="38"/>
      <c r="AE192" s="44"/>
      <c r="AF192" s="43" t="str">
        <f t="shared" si="184"/>
        <v/>
      </c>
      <c r="AG192" s="37"/>
      <c r="AH192" s="38"/>
      <c r="AI192" s="44"/>
      <c r="AJ192" s="43" t="str">
        <f t="shared" si="185"/>
        <v/>
      </c>
      <c r="AK192" s="37"/>
      <c r="AL192" s="38"/>
      <c r="AM192" s="44"/>
      <c r="AN192" s="43" t="str">
        <f t="shared" si="186"/>
        <v/>
      </c>
      <c r="AO192" s="37"/>
      <c r="AP192" s="38"/>
      <c r="AQ192" s="44"/>
      <c r="AR192" s="43" t="str">
        <f t="shared" si="187"/>
        <v/>
      </c>
      <c r="AS192" s="37"/>
      <c r="AT192" s="38"/>
      <c r="AU192" s="44"/>
      <c r="AV192" s="43" t="str">
        <f t="shared" si="188"/>
        <v/>
      </c>
      <c r="AW192" s="37"/>
      <c r="AX192" s="38"/>
      <c r="AY192" s="44"/>
      <c r="AZ192" s="43" t="str">
        <f t="shared" si="189"/>
        <v/>
      </c>
      <c r="BA192" s="37"/>
      <c r="BB192" s="38"/>
      <c r="BC192" s="44"/>
      <c r="BD192" s="43" t="str">
        <f t="shared" si="190"/>
        <v/>
      </c>
      <c r="BE192" s="37"/>
      <c r="BF192" s="38"/>
    </row>
    <row r="193" spans="2:58" ht="14" customHeight="1" x14ac:dyDescent="0.3">
      <c r="B193" s="735"/>
      <c r="C193" s="668" t="s">
        <v>225</v>
      </c>
      <c r="D193" s="409" t="s">
        <v>173</v>
      </c>
      <c r="E193" s="410" t="s">
        <v>186</v>
      </c>
      <c r="F193" s="411" t="s">
        <v>187</v>
      </c>
      <c r="G193" s="412" t="str">
        <f>G186</f>
        <v>D</v>
      </c>
      <c r="H193" s="413" t="str">
        <f t="shared" ref="H193:H199" si="192">H186</f>
        <v>G</v>
      </c>
      <c r="I193" s="364">
        <f t="shared" ref="I193:J193" si="193">IF(ISNUMBER(I186),I186/MAX($K186:$BE186)*100*2.1,"")</f>
        <v>210</v>
      </c>
      <c r="J193" s="365">
        <f t="shared" si="193"/>
        <v>177.14285714285717</v>
      </c>
      <c r="K193" s="27"/>
      <c r="L193" s="30"/>
      <c r="M193" s="47"/>
      <c r="N193" s="48"/>
      <c r="O193" s="40"/>
      <c r="P193" s="30"/>
      <c r="Q193" s="47"/>
      <c r="R193" s="48"/>
      <c r="S193" s="40"/>
      <c r="T193" s="30"/>
      <c r="U193" s="47"/>
      <c r="V193" s="48"/>
      <c r="W193" s="40"/>
      <c r="X193" s="30"/>
      <c r="Y193" s="47"/>
      <c r="Z193" s="48"/>
      <c r="AA193" s="40"/>
      <c r="AB193" s="30"/>
      <c r="AC193" s="47"/>
      <c r="AD193" s="48"/>
      <c r="AE193" s="40"/>
      <c r="AF193" s="30"/>
      <c r="AG193" s="47"/>
      <c r="AH193" s="48"/>
      <c r="AI193" s="40"/>
      <c r="AJ193" s="30"/>
      <c r="AK193" s="47"/>
      <c r="AL193" s="48"/>
      <c r="AM193" s="40"/>
      <c r="AN193" s="30"/>
      <c r="AO193" s="47"/>
      <c r="AP193" s="48"/>
      <c r="AQ193" s="40"/>
      <c r="AR193" s="30"/>
      <c r="AS193" s="47"/>
      <c r="AT193" s="48"/>
      <c r="AU193" s="40"/>
      <c r="AV193" s="30"/>
      <c r="AW193" s="47"/>
      <c r="AX193" s="48"/>
      <c r="AY193" s="40"/>
      <c r="AZ193" s="30"/>
      <c r="BA193" s="47"/>
      <c r="BB193" s="48"/>
      <c r="BC193" s="40"/>
      <c r="BD193" s="30"/>
      <c r="BE193" s="47"/>
      <c r="BF193" s="48"/>
    </row>
    <row r="194" spans="2:58" ht="14" customHeight="1" x14ac:dyDescent="0.3">
      <c r="B194" s="735"/>
      <c r="C194" s="669"/>
      <c r="D194" s="414" t="s">
        <v>174</v>
      </c>
      <c r="E194" s="415" t="s">
        <v>224</v>
      </c>
      <c r="F194" s="416" t="s">
        <v>188</v>
      </c>
      <c r="G194" s="415" t="str">
        <f t="shared" ref="G194:G199" si="194">G187</f>
        <v>A</v>
      </c>
      <c r="H194" s="416" t="str">
        <f t="shared" si="192"/>
        <v>C</v>
      </c>
      <c r="I194" s="364">
        <f t="shared" ref="I194:J194" si="195">IF(ISNUMBER(I187),I187/MAX($K187:$BE187)*100*2.1,"")</f>
        <v>109.62264150943396</v>
      </c>
      <c r="J194" s="365">
        <f t="shared" si="195"/>
        <v>210</v>
      </c>
      <c r="K194" s="49"/>
      <c r="L194" s="52"/>
      <c r="M194" s="47"/>
      <c r="N194" s="48"/>
      <c r="O194" s="51"/>
      <c r="P194" s="52"/>
      <c r="Q194" s="47"/>
      <c r="R194" s="48"/>
      <c r="S194" s="51"/>
      <c r="T194" s="52"/>
      <c r="U194" s="47"/>
      <c r="V194" s="48"/>
      <c r="W194" s="51"/>
      <c r="X194" s="52"/>
      <c r="Y194" s="47"/>
      <c r="Z194" s="48"/>
      <c r="AA194" s="51"/>
      <c r="AB194" s="52"/>
      <c r="AC194" s="47"/>
      <c r="AD194" s="48"/>
      <c r="AE194" s="51"/>
      <c r="AF194" s="52"/>
      <c r="AG194" s="47"/>
      <c r="AH194" s="48"/>
      <c r="AI194" s="51"/>
      <c r="AJ194" s="52"/>
      <c r="AK194" s="47"/>
      <c r="AL194" s="48"/>
      <c r="AM194" s="51"/>
      <c r="AN194" s="52"/>
      <c r="AO194" s="47"/>
      <c r="AP194" s="48"/>
      <c r="AQ194" s="51"/>
      <c r="AR194" s="52"/>
      <c r="AS194" s="47"/>
      <c r="AT194" s="48"/>
      <c r="AU194" s="51"/>
      <c r="AV194" s="52"/>
      <c r="AW194" s="47"/>
      <c r="AX194" s="48"/>
      <c r="AY194" s="51"/>
      <c r="AZ194" s="52"/>
      <c r="BA194" s="47"/>
      <c r="BB194" s="48"/>
      <c r="BC194" s="51"/>
      <c r="BD194" s="52"/>
      <c r="BE194" s="47"/>
      <c r="BF194" s="48"/>
    </row>
    <row r="195" spans="2:58" ht="14" customHeight="1" x14ac:dyDescent="0.3">
      <c r="B195" s="735"/>
      <c r="C195" s="669"/>
      <c r="D195" s="417" t="s">
        <v>175</v>
      </c>
      <c r="E195" s="415" t="s">
        <v>189</v>
      </c>
      <c r="F195" s="416" t="s">
        <v>190</v>
      </c>
      <c r="G195" s="415" t="str">
        <f t="shared" si="194"/>
        <v>G</v>
      </c>
      <c r="H195" s="416" t="str">
        <f t="shared" si="192"/>
        <v>A</v>
      </c>
      <c r="I195" s="364">
        <f>IF(ISNUMBER(I188),I188/MAX($K188:$BE188)*100*2.1,"")</f>
        <v>210</v>
      </c>
      <c r="J195" s="365">
        <f>IF(ISNUMBER(J188),J188/MAX($K188:$BE188)*100*2.1,"")</f>
        <v>191.25</v>
      </c>
      <c r="K195" s="28"/>
      <c r="L195" s="41">
        <f>IF(ISNUMBER(L188),L188/MAX($K188:$BE188)*100*1.4,"")</f>
        <v>127.49999999999999</v>
      </c>
      <c r="M195" s="47"/>
      <c r="N195" s="48"/>
      <c r="O195" s="42"/>
      <c r="P195" s="41" t="str">
        <f>IF(ISNUMBER(P188),P188/MAX($K188:$BE188)*100*1.4,"")</f>
        <v/>
      </c>
      <c r="Q195" s="47"/>
      <c r="R195" s="48"/>
      <c r="S195" s="42"/>
      <c r="T195" s="41" t="str">
        <f>IF(ISNUMBER(T188),T188/MAX($K188:$BE188)*100*1.4,"")</f>
        <v/>
      </c>
      <c r="U195" s="47"/>
      <c r="V195" s="48"/>
      <c r="W195" s="42"/>
      <c r="X195" s="41" t="str">
        <f>IF(ISNUMBER(X188),X188/MAX($K188:$BE188)*100*1.4,"")</f>
        <v/>
      </c>
      <c r="Y195" s="47"/>
      <c r="Z195" s="48"/>
      <c r="AA195" s="42"/>
      <c r="AB195" s="41" t="str">
        <f>IF(ISNUMBER(AB188),AB188/MAX($K188:$BE188)*100*1.4,"")</f>
        <v/>
      </c>
      <c r="AC195" s="47"/>
      <c r="AD195" s="48"/>
      <c r="AE195" s="42"/>
      <c r="AF195" s="41" t="str">
        <f>IF(ISNUMBER(AF188),AF188/MAX($K188:$BE188)*100*1.4,"")</f>
        <v/>
      </c>
      <c r="AG195" s="47"/>
      <c r="AH195" s="48"/>
      <c r="AI195" s="42"/>
      <c r="AJ195" s="41">
        <f>IF(ISNUMBER(AJ188),AJ188/MAX($K188:$BE188)*100*1.4,"")</f>
        <v>140</v>
      </c>
      <c r="AK195" s="47"/>
      <c r="AL195" s="48"/>
      <c r="AM195" s="42"/>
      <c r="AN195" s="41" t="str">
        <f>IF(ISNUMBER(AN188),AN188/MAX($K188:$BE188)*100*1.4,"")</f>
        <v/>
      </c>
      <c r="AO195" s="47"/>
      <c r="AP195" s="48"/>
      <c r="AQ195" s="42"/>
      <c r="AR195" s="41" t="str">
        <f>IF(ISNUMBER(AR188),AR188/MAX($K188:$BE188)*100*1.4,"")</f>
        <v/>
      </c>
      <c r="AS195" s="47"/>
      <c r="AT195" s="48"/>
      <c r="AU195" s="42"/>
      <c r="AV195" s="41" t="str">
        <f>IF(ISNUMBER(AV188),AV188/MAX($K188:$BE188)*100*1.4,"")</f>
        <v/>
      </c>
      <c r="AW195" s="47"/>
      <c r="AX195" s="48"/>
      <c r="AY195" s="42"/>
      <c r="AZ195" s="41" t="str">
        <f>IF(ISNUMBER(AZ188),AZ188/MAX($K188:$BE188)*100*1.4,"")</f>
        <v/>
      </c>
      <c r="BA195" s="47"/>
      <c r="BB195" s="48"/>
      <c r="BC195" s="42"/>
      <c r="BD195" s="41" t="str">
        <f>IF(ISNUMBER(BD188),BD188/MAX($K188:$BE188)*100*1.4,"")</f>
        <v/>
      </c>
      <c r="BE195" s="47"/>
      <c r="BF195" s="48"/>
    </row>
    <row r="196" spans="2:58" ht="14" customHeight="1" x14ac:dyDescent="0.3">
      <c r="B196" s="735"/>
      <c r="C196" s="669"/>
      <c r="D196" s="417" t="s">
        <v>91</v>
      </c>
      <c r="E196" s="415" t="s">
        <v>191</v>
      </c>
      <c r="F196" s="416" t="s">
        <v>192</v>
      </c>
      <c r="G196" s="415" t="str">
        <f t="shared" si="194"/>
        <v>F</v>
      </c>
      <c r="H196" s="416" t="str">
        <f t="shared" si="192"/>
        <v>D</v>
      </c>
      <c r="I196" s="364">
        <f t="shared" ref="I196:J196" si="196">IF(ISNUMBER(I189),I189/MAX($K189:$BE189)*100*2.1,"")</f>
        <v>202.125</v>
      </c>
      <c r="J196" s="365">
        <f t="shared" si="196"/>
        <v>210</v>
      </c>
      <c r="K196" s="28"/>
      <c r="L196" s="47"/>
      <c r="M196" s="34"/>
      <c r="N196" s="35"/>
      <c r="O196" s="42"/>
      <c r="P196" s="47"/>
      <c r="Q196" s="34"/>
      <c r="R196" s="35"/>
      <c r="S196" s="42"/>
      <c r="T196" s="47"/>
      <c r="U196" s="34"/>
      <c r="V196" s="35"/>
      <c r="W196" s="42"/>
      <c r="X196" s="47"/>
      <c r="Y196" s="34"/>
      <c r="Z196" s="35"/>
      <c r="AA196" s="42"/>
      <c r="AB196" s="47"/>
      <c r="AC196" s="34"/>
      <c r="AD196" s="35"/>
      <c r="AE196" s="42"/>
      <c r="AF196" s="47"/>
      <c r="AG196" s="34"/>
      <c r="AH196" s="35"/>
      <c r="AI196" s="42"/>
      <c r="AJ196" s="47"/>
      <c r="AK196" s="34"/>
      <c r="AL196" s="35"/>
      <c r="AM196" s="42"/>
      <c r="AN196" s="47"/>
      <c r="AO196" s="34"/>
      <c r="AP196" s="35"/>
      <c r="AQ196" s="42"/>
      <c r="AR196" s="47"/>
      <c r="AS196" s="34"/>
      <c r="AT196" s="35"/>
      <c r="AU196" s="42"/>
      <c r="AV196" s="47"/>
      <c r="AW196" s="34"/>
      <c r="AX196" s="35"/>
      <c r="AY196" s="42"/>
      <c r="AZ196" s="47"/>
      <c r="BA196" s="34"/>
      <c r="BB196" s="35"/>
      <c r="BC196" s="42"/>
      <c r="BD196" s="47"/>
      <c r="BE196" s="34"/>
      <c r="BF196" s="35"/>
    </row>
    <row r="197" spans="2:58" ht="14" customHeight="1" x14ac:dyDescent="0.3">
      <c r="B197" s="735"/>
      <c r="C197" s="669"/>
      <c r="D197" s="417" t="s">
        <v>94</v>
      </c>
      <c r="E197" s="415" t="s">
        <v>193</v>
      </c>
      <c r="F197" s="416" t="s">
        <v>194</v>
      </c>
      <c r="G197" s="415" t="str">
        <f t="shared" si="194"/>
        <v>E</v>
      </c>
      <c r="H197" s="416" t="str">
        <f t="shared" si="192"/>
        <v>C</v>
      </c>
      <c r="I197" s="364">
        <f t="shared" ref="I197:J197" si="197">IF(ISNUMBER(I190),I190/MAX($K190:$BE190)*100*2.1,"")</f>
        <v>210</v>
      </c>
      <c r="J197" s="365">
        <f t="shared" si="197"/>
        <v>196.62420382165607</v>
      </c>
      <c r="K197" s="28"/>
      <c r="L197" s="34"/>
      <c r="M197" s="47"/>
      <c r="N197" s="48"/>
      <c r="O197" s="42"/>
      <c r="P197" s="34"/>
      <c r="Q197" s="47"/>
      <c r="R197" s="48"/>
      <c r="S197" s="42"/>
      <c r="T197" s="34"/>
      <c r="U197" s="47"/>
      <c r="V197" s="48"/>
      <c r="W197" s="42"/>
      <c r="X197" s="34"/>
      <c r="Y197" s="47"/>
      <c r="Z197" s="48"/>
      <c r="AA197" s="42"/>
      <c r="AB197" s="34"/>
      <c r="AC197" s="47"/>
      <c r="AD197" s="48"/>
      <c r="AE197" s="42"/>
      <c r="AF197" s="34"/>
      <c r="AG197" s="47"/>
      <c r="AH197" s="48"/>
      <c r="AI197" s="42"/>
      <c r="AJ197" s="34"/>
      <c r="AK197" s="47"/>
      <c r="AL197" s="48"/>
      <c r="AM197" s="42"/>
      <c r="AN197" s="34"/>
      <c r="AO197" s="47"/>
      <c r="AP197" s="48"/>
      <c r="AQ197" s="42"/>
      <c r="AR197" s="34"/>
      <c r="AS197" s="47"/>
      <c r="AT197" s="48"/>
      <c r="AU197" s="42"/>
      <c r="AV197" s="34"/>
      <c r="AW197" s="47"/>
      <c r="AX197" s="48"/>
      <c r="AY197" s="42"/>
      <c r="AZ197" s="34"/>
      <c r="BA197" s="47"/>
      <c r="BB197" s="48"/>
      <c r="BC197" s="42"/>
      <c r="BD197" s="34"/>
      <c r="BE197" s="47"/>
      <c r="BF197" s="48"/>
    </row>
    <row r="198" spans="2:58" ht="14" customHeight="1" x14ac:dyDescent="0.3">
      <c r="B198" s="735"/>
      <c r="C198" s="669"/>
      <c r="D198" s="417" t="s">
        <v>162</v>
      </c>
      <c r="E198" s="415" t="s">
        <v>195</v>
      </c>
      <c r="F198" s="416" t="s">
        <v>196</v>
      </c>
      <c r="G198" s="415" t="str">
        <f t="shared" si="194"/>
        <v>F</v>
      </c>
      <c r="H198" s="416" t="str">
        <f t="shared" si="192"/>
        <v>C</v>
      </c>
      <c r="I198" s="364">
        <f t="shared" ref="I198:J198" si="198">IF(ISNUMBER(I191),I191/MAX($K191:$BE191)*100*2.1,"")</f>
        <v>210</v>
      </c>
      <c r="J198" s="365">
        <f t="shared" si="198"/>
        <v>150.58536585365854</v>
      </c>
      <c r="K198" s="28"/>
      <c r="L198" s="41" t="str">
        <f>IF(ISNUMBER(L191),(150+L191/MAX($K191:$BE191)*150)*1.4,"")</f>
        <v/>
      </c>
      <c r="M198" s="34"/>
      <c r="N198" s="35"/>
      <c r="O198" s="42"/>
      <c r="P198" s="41" t="str">
        <f>IF(ISNUMBER(P191),(150+P191/MAX($K191:$BE191)*150)*1.4,"")</f>
        <v/>
      </c>
      <c r="Q198" s="34"/>
      <c r="R198" s="35"/>
      <c r="S198" s="42"/>
      <c r="T198" s="41">
        <f>IF(ISNUMBER(T191),(150+T191/MAX($K191:$BE191)*150)*1.4,"")</f>
        <v>360.58536585365852</v>
      </c>
      <c r="U198" s="34"/>
      <c r="V198" s="35"/>
      <c r="W198" s="42"/>
      <c r="X198" s="41" t="str">
        <f>IF(ISNUMBER(X191),(150+X191/MAX($K191:$BE191)*150)*1.4,"")</f>
        <v/>
      </c>
      <c r="Y198" s="34"/>
      <c r="Z198" s="35"/>
      <c r="AA198" s="42"/>
      <c r="AB198" s="41" t="str">
        <f>IF(ISNUMBER(AB191),(150+AB191/MAX($K191:$BE191)*150)*1.4,"")</f>
        <v/>
      </c>
      <c r="AC198" s="34"/>
      <c r="AD198" s="35"/>
      <c r="AE198" s="42"/>
      <c r="AF198" s="41">
        <f>IF(ISNUMBER(AF191),(150+AF191/MAX($K191:$BE191)*150)*1.4,"")</f>
        <v>420</v>
      </c>
      <c r="AG198" s="34"/>
      <c r="AH198" s="35"/>
      <c r="AI198" s="42"/>
      <c r="AJ198" s="41" t="str">
        <f>IF(ISNUMBER(AJ191),(150+AJ191/MAX($K191:$BE191)*150)*1.4,"")</f>
        <v/>
      </c>
      <c r="AK198" s="34"/>
      <c r="AL198" s="35"/>
      <c r="AM198" s="42"/>
      <c r="AN198" s="41" t="str">
        <f>IF(ISNUMBER(AN191),(150+AN191/MAX($K191:$BE191)*150)*1.4,"")</f>
        <v/>
      </c>
      <c r="AO198" s="34"/>
      <c r="AP198" s="35"/>
      <c r="AQ198" s="42"/>
      <c r="AR198" s="41" t="str">
        <f>IF(ISNUMBER(AR191),(150+AR191/MAX($K191:$BE191)*150)*1.4,"")</f>
        <v/>
      </c>
      <c r="AS198" s="34"/>
      <c r="AT198" s="35"/>
      <c r="AU198" s="42"/>
      <c r="AV198" s="41" t="str">
        <f>IF(ISNUMBER(AV191),(150+AV191/MAX($K191:$BE191)*150)*1.4,"")</f>
        <v/>
      </c>
      <c r="AW198" s="34"/>
      <c r="AX198" s="35"/>
      <c r="AY198" s="42"/>
      <c r="AZ198" s="41" t="str">
        <f>IF(ISNUMBER(AZ191),(150+AZ191/MAX($K191:$BE191)*150)*1.4,"")</f>
        <v/>
      </c>
      <c r="BA198" s="34"/>
      <c r="BB198" s="35"/>
      <c r="BC198" s="42"/>
      <c r="BD198" s="41" t="str">
        <f>IF(ISNUMBER(BD191),(150+BD191/MAX($K191:$BE191)*150)*1.4,"")</f>
        <v/>
      </c>
      <c r="BE198" s="34"/>
      <c r="BF198" s="35"/>
    </row>
    <row r="199" spans="2:58" ht="14" customHeight="1" thickBot="1" x14ac:dyDescent="0.35">
      <c r="B199" s="735"/>
      <c r="C199" s="670"/>
      <c r="D199" s="418" t="s">
        <v>163</v>
      </c>
      <c r="E199" s="419" t="s">
        <v>197</v>
      </c>
      <c r="F199" s="420" t="s">
        <v>198</v>
      </c>
      <c r="G199" s="419" t="str">
        <f t="shared" si="194"/>
        <v>D</v>
      </c>
      <c r="H199" s="420" t="str">
        <f t="shared" si="192"/>
        <v>E</v>
      </c>
      <c r="I199" s="366">
        <f t="shared" ref="I199:J199" si="199">IF(ISNUMBER(I192),I192/MAX($K192:$BE192)*100*2.1,"")</f>
        <v>109.03846153846155</v>
      </c>
      <c r="J199" s="365">
        <f t="shared" si="199"/>
        <v>210</v>
      </c>
      <c r="K199" s="29"/>
      <c r="L199" s="43" t="str">
        <f>IF(ISNUMBER(L192),(400+L192/MAX($K192:$BE192)*200)*1.4,"")</f>
        <v/>
      </c>
      <c r="M199" s="37"/>
      <c r="N199" s="38"/>
      <c r="O199" s="44"/>
      <c r="P199" s="43" t="str">
        <f>IF(ISNUMBER(P192),(400+P192/MAX($K192:$BE192)*200)*1.4,"")</f>
        <v/>
      </c>
      <c r="Q199" s="37"/>
      <c r="R199" s="38"/>
      <c r="S199" s="44"/>
      <c r="T199" s="43" t="str">
        <f>IF(ISNUMBER(T192),(400+T192/MAX($K192:$BE192)*200)*1.4,"")</f>
        <v/>
      </c>
      <c r="U199" s="37"/>
      <c r="V199" s="38"/>
      <c r="W199" s="44"/>
      <c r="X199" s="43">
        <f>IF(ISNUMBER(X192),(400+X192/MAX($K192:$BE192)*200)*1.4,"")</f>
        <v>705.38461538461536</v>
      </c>
      <c r="Y199" s="37"/>
      <c r="Z199" s="38"/>
      <c r="AA199" s="44"/>
      <c r="AB199" s="43">
        <f>IF(ISNUMBER(AB192),(400+AB192/MAX($K192:$BE192)*200)*1.4,"")</f>
        <v>840</v>
      </c>
      <c r="AC199" s="37"/>
      <c r="AD199" s="38"/>
      <c r="AE199" s="44"/>
      <c r="AF199" s="43" t="str">
        <f>IF(ISNUMBER(AF192),(400+AF192/MAX($K192:$BE192)*200)*1.4,"")</f>
        <v/>
      </c>
      <c r="AG199" s="37"/>
      <c r="AH199" s="38"/>
      <c r="AI199" s="44"/>
      <c r="AJ199" s="43" t="str">
        <f>IF(ISNUMBER(AJ192),(400+AJ192/MAX($K192:$BE192)*200)*1.4,"")</f>
        <v/>
      </c>
      <c r="AK199" s="37"/>
      <c r="AL199" s="38"/>
      <c r="AM199" s="44"/>
      <c r="AN199" s="43" t="str">
        <f>IF(ISNUMBER(AN192),(400+AN192/MAX($K192:$BE192)*200)*1.4,"")</f>
        <v/>
      </c>
      <c r="AO199" s="37"/>
      <c r="AP199" s="38"/>
      <c r="AQ199" s="44"/>
      <c r="AR199" s="43" t="str">
        <f>IF(ISNUMBER(AR192),(400+AR192/MAX($K192:$BE192)*200)*1.4,"")</f>
        <v/>
      </c>
      <c r="AS199" s="37"/>
      <c r="AT199" s="38"/>
      <c r="AU199" s="309"/>
      <c r="AV199" s="310" t="str">
        <f>IF(ISNUMBER(AV192),(400+AV192/MAX($K192:$BE192)*200)*1.4,"")</f>
        <v/>
      </c>
      <c r="AW199" s="311"/>
      <c r="AX199" s="312"/>
      <c r="AY199" s="309"/>
      <c r="AZ199" s="310" t="str">
        <f>IF(ISNUMBER(AZ192),(400+AZ192/MAX($K192:$BE192)*200)*1.4,"")</f>
        <v/>
      </c>
      <c r="BA199" s="311"/>
      <c r="BB199" s="312"/>
      <c r="BC199" s="309"/>
      <c r="BD199" s="310" t="str">
        <f>IF(ISNUMBER(BD192),(400+BD192/MAX($K192:$BE192)*200)*1.4,"")</f>
        <v/>
      </c>
      <c r="BE199" s="311"/>
      <c r="BF199" s="312"/>
    </row>
    <row r="200" spans="2:58" ht="14" customHeight="1" x14ac:dyDescent="0.3">
      <c r="B200" s="735"/>
      <c r="C200" s="671" t="s">
        <v>154</v>
      </c>
      <c r="D200" s="264" t="s">
        <v>173</v>
      </c>
      <c r="E200" s="265" t="s">
        <v>199</v>
      </c>
      <c r="F200" s="266" t="s">
        <v>200</v>
      </c>
      <c r="G200" s="267" t="str">
        <f>VLOOKUP(E200,AD$164:AE$169,2,FALSE)</f>
        <v>D</v>
      </c>
      <c r="H200" s="268" t="str">
        <f>VLOOKUP(F200,AD$164:AE$169,2,FALSE)</f>
        <v>I</v>
      </c>
      <c r="I200" s="265">
        <v>10</v>
      </c>
      <c r="J200" s="266">
        <v>3</v>
      </c>
      <c r="K200" s="313"/>
      <c r="L200" s="314"/>
      <c r="M200" s="315" t="str">
        <f t="shared" ref="M200:M206" si="200">IF(ISNUMBER(FIND(K$13,$G200)),$I200,IF(ISNUMBER(FIND(K$13,$H200)),$J200,""))</f>
        <v/>
      </c>
      <c r="N200" s="316"/>
      <c r="O200" s="313"/>
      <c r="P200" s="314"/>
      <c r="Q200" s="315" t="str">
        <f t="shared" ref="Q200:Q206" si="201">IF(ISNUMBER(FIND(O$13,$G200)),$I200,IF(ISNUMBER(FIND(O$13,$H200)),$J200,""))</f>
        <v/>
      </c>
      <c r="R200" s="316"/>
      <c r="S200" s="313"/>
      <c r="T200" s="314"/>
      <c r="U200" s="315" t="str">
        <f t="shared" ref="U200:U206" si="202">IF(ISNUMBER(FIND(S$13,$G200)),$I200,IF(ISNUMBER(FIND(S$13,$H200)),$J200,""))</f>
        <v/>
      </c>
      <c r="V200" s="316"/>
      <c r="W200" s="313"/>
      <c r="X200" s="314"/>
      <c r="Y200" s="315">
        <f t="shared" ref="Y200:Y206" si="203">IF(ISNUMBER(FIND(W$13,$G200)),$I200,IF(ISNUMBER(FIND(W$13,$H200)),$J200,""))</f>
        <v>10</v>
      </c>
      <c r="Z200" s="316"/>
      <c r="AA200" s="313"/>
      <c r="AB200" s="314"/>
      <c r="AC200" s="315" t="str">
        <f t="shared" ref="AC200:AC206" si="204">IF(ISNUMBER(FIND(AA$13,$G200)),$I200,IF(ISNUMBER(FIND(AA$13,$H200)),$J200,""))</f>
        <v/>
      </c>
      <c r="AD200" s="316"/>
      <c r="AE200" s="313"/>
      <c r="AF200" s="314"/>
      <c r="AG200" s="315" t="str">
        <f t="shared" ref="AG200:AG206" si="205">IF(ISNUMBER(FIND(AE$13,$G200)),$I200,IF(ISNUMBER(FIND(AE$13,$H200)),$J200,""))</f>
        <v/>
      </c>
      <c r="AH200" s="316"/>
      <c r="AI200" s="313"/>
      <c r="AJ200" s="314"/>
      <c r="AK200" s="315" t="str">
        <f t="shared" ref="AK200:AK206" si="206">IF(ISNUMBER(FIND(AI$13,$G200)),$I200,IF(ISNUMBER(FIND(AI$13,$H200)),$J200,""))</f>
        <v/>
      </c>
      <c r="AL200" s="316"/>
      <c r="AM200" s="313"/>
      <c r="AN200" s="314"/>
      <c r="AO200" s="315" t="str">
        <f t="shared" ref="AO200:AO206" si="207">IF(ISNUMBER(FIND(AM$13,$G200)),$I200,IF(ISNUMBER(FIND(AM$13,$H200)),$J200,""))</f>
        <v/>
      </c>
      <c r="AP200" s="316"/>
      <c r="AQ200" s="313"/>
      <c r="AR200" s="314"/>
      <c r="AS200" s="315">
        <f t="shared" ref="AS200:AS206" si="208">IF(ISNUMBER(FIND(AQ$13,$G200)),$I200,IF(ISNUMBER(FIND(AQ$13,$H200)),$J200,""))</f>
        <v>3</v>
      </c>
      <c r="AT200" s="316"/>
      <c r="AU200" s="313"/>
      <c r="AV200" s="314"/>
      <c r="AW200" s="315" t="str">
        <f t="shared" ref="AW200:AW206" si="209">IF(ISNUMBER(FIND(AU$13,$G200)),$I200,IF(ISNUMBER(FIND(AU$13,$H200)),$J200,""))</f>
        <v/>
      </c>
      <c r="AX200" s="316"/>
      <c r="AY200" s="313"/>
      <c r="AZ200" s="314"/>
      <c r="BA200" s="315" t="str">
        <f t="shared" ref="BA200:BA206" si="210">IF(ISNUMBER(FIND(AY$13,$G200)),$I200,IF(ISNUMBER(FIND(AY$13,$H200)),$J200,""))</f>
        <v/>
      </c>
      <c r="BB200" s="316"/>
      <c r="BC200" s="313"/>
      <c r="BD200" s="314"/>
      <c r="BE200" s="315" t="str">
        <f t="shared" ref="BE200:BE206" si="211">IF(ISNUMBER(FIND(BC$13,$G200)),$I200,IF(ISNUMBER(FIND(BC$13,$H200)),$J200,""))</f>
        <v/>
      </c>
      <c r="BF200" s="316"/>
    </row>
    <row r="201" spans="2:58" ht="14" customHeight="1" x14ac:dyDescent="0.3">
      <c r="B201" s="735"/>
      <c r="C201" s="672"/>
      <c r="D201" s="269" t="s">
        <v>174</v>
      </c>
      <c r="E201" s="270" t="s">
        <v>201</v>
      </c>
      <c r="F201" s="271" t="s">
        <v>202</v>
      </c>
      <c r="G201" s="270" t="str">
        <f>VLOOKUP(E201,AD$164:AE$169,2,FALSE)</f>
        <v>H</v>
      </c>
      <c r="H201" s="271" t="str">
        <f>VLOOKUP(F201,AD$164:AE$169,2,FALSE)</f>
        <v>F</v>
      </c>
      <c r="I201" s="270">
        <v>6</v>
      </c>
      <c r="J201" s="271">
        <v>10</v>
      </c>
      <c r="K201" s="317"/>
      <c r="L201" s="318"/>
      <c r="M201" s="319" t="str">
        <f t="shared" si="200"/>
        <v/>
      </c>
      <c r="N201" s="320"/>
      <c r="O201" s="317"/>
      <c r="P201" s="318"/>
      <c r="Q201" s="319" t="str">
        <f t="shared" si="201"/>
        <v/>
      </c>
      <c r="R201" s="320"/>
      <c r="S201" s="317"/>
      <c r="T201" s="318"/>
      <c r="U201" s="319" t="str">
        <f t="shared" si="202"/>
        <v/>
      </c>
      <c r="V201" s="320"/>
      <c r="W201" s="317"/>
      <c r="X201" s="318"/>
      <c r="Y201" s="319" t="str">
        <f t="shared" si="203"/>
        <v/>
      </c>
      <c r="Z201" s="320"/>
      <c r="AA201" s="317"/>
      <c r="AB201" s="318"/>
      <c r="AC201" s="319" t="str">
        <f t="shared" si="204"/>
        <v/>
      </c>
      <c r="AD201" s="320"/>
      <c r="AE201" s="317"/>
      <c r="AF201" s="318"/>
      <c r="AG201" s="319">
        <f t="shared" si="205"/>
        <v>10</v>
      </c>
      <c r="AH201" s="320"/>
      <c r="AI201" s="317"/>
      <c r="AJ201" s="318"/>
      <c r="AK201" s="319" t="str">
        <f t="shared" si="206"/>
        <v/>
      </c>
      <c r="AL201" s="320"/>
      <c r="AM201" s="317"/>
      <c r="AN201" s="318"/>
      <c r="AO201" s="319">
        <f t="shared" si="207"/>
        <v>6</v>
      </c>
      <c r="AP201" s="320"/>
      <c r="AQ201" s="317"/>
      <c r="AR201" s="318"/>
      <c r="AS201" s="319" t="str">
        <f t="shared" si="208"/>
        <v/>
      </c>
      <c r="AT201" s="320"/>
      <c r="AU201" s="317"/>
      <c r="AV201" s="318"/>
      <c r="AW201" s="319" t="str">
        <f t="shared" si="209"/>
        <v/>
      </c>
      <c r="AX201" s="320"/>
      <c r="AY201" s="317"/>
      <c r="AZ201" s="318"/>
      <c r="BA201" s="319" t="str">
        <f t="shared" si="210"/>
        <v/>
      </c>
      <c r="BB201" s="320"/>
      <c r="BC201" s="317"/>
      <c r="BD201" s="318"/>
      <c r="BE201" s="319" t="str">
        <f t="shared" si="211"/>
        <v/>
      </c>
      <c r="BF201" s="320"/>
    </row>
    <row r="202" spans="2:58" ht="14" customHeight="1" x14ac:dyDescent="0.3">
      <c r="B202" s="735"/>
      <c r="C202" s="672"/>
      <c r="D202" s="272" t="s">
        <v>175</v>
      </c>
      <c r="E202" s="270" t="s">
        <v>203</v>
      </c>
      <c r="F202" s="271" t="s">
        <v>204</v>
      </c>
      <c r="G202" s="270" t="str">
        <f>IF(J200&lt;I200,H200,IF(J200&gt;I200,G200,""))</f>
        <v>I</v>
      </c>
      <c r="H202" s="271" t="str">
        <f>IF(I201&lt;J201,G201,IF(I201&gt;J201,H201,""))</f>
        <v>H</v>
      </c>
      <c r="I202" s="270">
        <v>4</v>
      </c>
      <c r="J202" s="271">
        <v>10</v>
      </c>
      <c r="K202" s="317"/>
      <c r="L202" s="318"/>
      <c r="M202" s="319" t="str">
        <f t="shared" si="200"/>
        <v/>
      </c>
      <c r="N202" s="320"/>
      <c r="O202" s="317"/>
      <c r="P202" s="318"/>
      <c r="Q202" s="319" t="str">
        <f t="shared" si="201"/>
        <v/>
      </c>
      <c r="R202" s="320"/>
      <c r="S202" s="317"/>
      <c r="T202" s="318"/>
      <c r="U202" s="319" t="str">
        <f t="shared" si="202"/>
        <v/>
      </c>
      <c r="V202" s="320"/>
      <c r="W202" s="317"/>
      <c r="X202" s="318"/>
      <c r="Y202" s="319" t="str">
        <f t="shared" si="203"/>
        <v/>
      </c>
      <c r="Z202" s="320"/>
      <c r="AA202" s="317"/>
      <c r="AB202" s="318"/>
      <c r="AC202" s="319" t="str">
        <f t="shared" si="204"/>
        <v/>
      </c>
      <c r="AD202" s="320"/>
      <c r="AE202" s="317"/>
      <c r="AF202" s="318"/>
      <c r="AG202" s="319" t="str">
        <f t="shared" si="205"/>
        <v/>
      </c>
      <c r="AH202" s="320"/>
      <c r="AI202" s="317"/>
      <c r="AJ202" s="318"/>
      <c r="AK202" s="319" t="str">
        <f t="shared" si="206"/>
        <v/>
      </c>
      <c r="AL202" s="320"/>
      <c r="AM202" s="317"/>
      <c r="AN202" s="318"/>
      <c r="AO202" s="319">
        <f t="shared" si="207"/>
        <v>10</v>
      </c>
      <c r="AP202" s="320"/>
      <c r="AQ202" s="317"/>
      <c r="AR202" s="318"/>
      <c r="AS202" s="319">
        <f t="shared" si="208"/>
        <v>4</v>
      </c>
      <c r="AT202" s="320"/>
      <c r="AU202" s="317"/>
      <c r="AV202" s="318"/>
      <c r="AW202" s="319" t="str">
        <f t="shared" si="209"/>
        <v/>
      </c>
      <c r="AX202" s="320"/>
      <c r="AY202" s="317"/>
      <c r="AZ202" s="318"/>
      <c r="BA202" s="319" t="str">
        <f t="shared" si="210"/>
        <v/>
      </c>
      <c r="BB202" s="320"/>
      <c r="BC202" s="317"/>
      <c r="BD202" s="318"/>
      <c r="BE202" s="319" t="str">
        <f t="shared" si="211"/>
        <v/>
      </c>
      <c r="BF202" s="320"/>
    </row>
    <row r="203" spans="2:58" ht="14" customHeight="1" x14ac:dyDescent="0.3">
      <c r="B203" s="735"/>
      <c r="C203" s="672"/>
      <c r="D203" s="272" t="s">
        <v>91</v>
      </c>
      <c r="E203" s="270" t="s">
        <v>205</v>
      </c>
      <c r="F203" s="271" t="s">
        <v>206</v>
      </c>
      <c r="G203" s="270" t="str">
        <f>VLOOKUP(E203,AD$164:AE$169,2,FALSE)</f>
        <v>C</v>
      </c>
      <c r="H203" s="271" t="str">
        <f>IF(I200&gt;J200,G200,IF(I200&lt;J200,H200,""))</f>
        <v>D</v>
      </c>
      <c r="I203" s="270">
        <v>10</v>
      </c>
      <c r="J203" s="271">
        <v>4</v>
      </c>
      <c r="K203" s="317"/>
      <c r="L203" s="318"/>
      <c r="M203" s="319" t="str">
        <f t="shared" si="200"/>
        <v/>
      </c>
      <c r="N203" s="321"/>
      <c r="O203" s="317"/>
      <c r="P203" s="318"/>
      <c r="Q203" s="319" t="str">
        <f t="shared" si="201"/>
        <v/>
      </c>
      <c r="R203" s="321"/>
      <c r="S203" s="317"/>
      <c r="T203" s="318"/>
      <c r="U203" s="319">
        <f t="shared" si="202"/>
        <v>10</v>
      </c>
      <c r="V203" s="321"/>
      <c r="W203" s="317"/>
      <c r="X203" s="318"/>
      <c r="Y203" s="319">
        <f t="shared" si="203"/>
        <v>4</v>
      </c>
      <c r="Z203" s="321"/>
      <c r="AA203" s="317"/>
      <c r="AB203" s="318"/>
      <c r="AC203" s="319" t="str">
        <f t="shared" si="204"/>
        <v/>
      </c>
      <c r="AD203" s="321"/>
      <c r="AE203" s="317"/>
      <c r="AF203" s="318"/>
      <c r="AG203" s="319" t="str">
        <f t="shared" si="205"/>
        <v/>
      </c>
      <c r="AH203" s="321"/>
      <c r="AI203" s="317"/>
      <c r="AJ203" s="318"/>
      <c r="AK203" s="319" t="str">
        <f t="shared" si="206"/>
        <v/>
      </c>
      <c r="AL203" s="321"/>
      <c r="AM203" s="317"/>
      <c r="AN203" s="318"/>
      <c r="AO203" s="319" t="str">
        <f t="shared" si="207"/>
        <v/>
      </c>
      <c r="AP203" s="321"/>
      <c r="AQ203" s="317"/>
      <c r="AR203" s="318"/>
      <c r="AS203" s="319" t="str">
        <f t="shared" si="208"/>
        <v/>
      </c>
      <c r="AT203" s="321"/>
      <c r="AU203" s="317"/>
      <c r="AV203" s="318"/>
      <c r="AW203" s="319" t="str">
        <f t="shared" si="209"/>
        <v/>
      </c>
      <c r="AX203" s="321"/>
      <c r="AY203" s="317"/>
      <c r="AZ203" s="318"/>
      <c r="BA203" s="319" t="str">
        <f t="shared" si="210"/>
        <v/>
      </c>
      <c r="BB203" s="321"/>
      <c r="BC203" s="317"/>
      <c r="BD203" s="318"/>
      <c r="BE203" s="319" t="str">
        <f t="shared" si="211"/>
        <v/>
      </c>
      <c r="BF203" s="321"/>
    </row>
    <row r="204" spans="2:58" ht="14" customHeight="1" x14ac:dyDescent="0.3">
      <c r="B204" s="735"/>
      <c r="C204" s="672"/>
      <c r="D204" s="272" t="s">
        <v>94</v>
      </c>
      <c r="E204" s="270" t="s">
        <v>207</v>
      </c>
      <c r="F204" s="271" t="s">
        <v>208</v>
      </c>
      <c r="G204" s="270" t="str">
        <f>VLOOKUP(E204,AD$164:AE$169,2,FALSE)</f>
        <v>B</v>
      </c>
      <c r="H204" s="271" t="str">
        <f>IF(I201&gt;J201,G201,IF(I201&lt;J201,H201,""))</f>
        <v>F</v>
      </c>
      <c r="I204" s="270">
        <v>10</v>
      </c>
      <c r="J204" s="271">
        <v>4</v>
      </c>
      <c r="K204" s="322"/>
      <c r="L204" s="323"/>
      <c r="M204" s="324" t="str">
        <f t="shared" si="200"/>
        <v/>
      </c>
      <c r="N204" s="320"/>
      <c r="O204" s="322"/>
      <c r="P204" s="323"/>
      <c r="Q204" s="324">
        <f t="shared" si="201"/>
        <v>10</v>
      </c>
      <c r="R204" s="320"/>
      <c r="S204" s="322"/>
      <c r="T204" s="323"/>
      <c r="U204" s="324" t="str">
        <f t="shared" si="202"/>
        <v/>
      </c>
      <c r="V204" s="320"/>
      <c r="W204" s="322"/>
      <c r="X204" s="323"/>
      <c r="Y204" s="324" t="str">
        <f t="shared" si="203"/>
        <v/>
      </c>
      <c r="Z204" s="320"/>
      <c r="AA204" s="322"/>
      <c r="AB204" s="323"/>
      <c r="AC204" s="324" t="str">
        <f t="shared" si="204"/>
        <v/>
      </c>
      <c r="AD204" s="320"/>
      <c r="AE204" s="322"/>
      <c r="AF204" s="323"/>
      <c r="AG204" s="324">
        <f t="shared" si="205"/>
        <v>4</v>
      </c>
      <c r="AH204" s="320"/>
      <c r="AI204" s="322"/>
      <c r="AJ204" s="323"/>
      <c r="AK204" s="324" t="str">
        <f t="shared" si="206"/>
        <v/>
      </c>
      <c r="AL204" s="320"/>
      <c r="AM204" s="322"/>
      <c r="AN204" s="323"/>
      <c r="AO204" s="324" t="str">
        <f t="shared" si="207"/>
        <v/>
      </c>
      <c r="AP204" s="320"/>
      <c r="AQ204" s="322"/>
      <c r="AR204" s="323"/>
      <c r="AS204" s="324" t="str">
        <f t="shared" si="208"/>
        <v/>
      </c>
      <c r="AT204" s="320"/>
      <c r="AU204" s="322"/>
      <c r="AV204" s="323"/>
      <c r="AW204" s="324" t="str">
        <f t="shared" si="209"/>
        <v/>
      </c>
      <c r="AX204" s="320"/>
      <c r="AY204" s="322"/>
      <c r="AZ204" s="323"/>
      <c r="BA204" s="324" t="str">
        <f t="shared" si="210"/>
        <v/>
      </c>
      <c r="BB204" s="320"/>
      <c r="BC204" s="322"/>
      <c r="BD204" s="323"/>
      <c r="BE204" s="324" t="str">
        <f t="shared" si="211"/>
        <v/>
      </c>
      <c r="BF204" s="320"/>
    </row>
    <row r="205" spans="2:58" ht="14" customHeight="1" x14ac:dyDescent="0.3">
      <c r="B205" s="735"/>
      <c r="C205" s="672"/>
      <c r="D205" s="272" t="s">
        <v>162</v>
      </c>
      <c r="E205" s="270" t="s">
        <v>209</v>
      </c>
      <c r="F205" s="271" t="s">
        <v>210</v>
      </c>
      <c r="G205" s="270" t="str">
        <f>IF(I203&lt;J203,G203,H203)</f>
        <v>D</v>
      </c>
      <c r="H205" s="271" t="str">
        <f>IF(I204&lt;J204,G204,H204)</f>
        <v>F</v>
      </c>
      <c r="I205" s="270">
        <v>5</v>
      </c>
      <c r="J205" s="271">
        <v>10</v>
      </c>
      <c r="K205" s="322"/>
      <c r="L205" s="323"/>
      <c r="M205" s="324" t="str">
        <f t="shared" si="200"/>
        <v/>
      </c>
      <c r="N205" s="321"/>
      <c r="O205" s="322"/>
      <c r="P205" s="323"/>
      <c r="Q205" s="324" t="str">
        <f t="shared" si="201"/>
        <v/>
      </c>
      <c r="R205" s="321"/>
      <c r="S205" s="322"/>
      <c r="T205" s="323"/>
      <c r="U205" s="324" t="str">
        <f t="shared" si="202"/>
        <v/>
      </c>
      <c r="V205" s="321"/>
      <c r="W205" s="322"/>
      <c r="X205" s="323"/>
      <c r="Y205" s="324">
        <f t="shared" si="203"/>
        <v>5</v>
      </c>
      <c r="Z205" s="321"/>
      <c r="AA205" s="322"/>
      <c r="AB205" s="323"/>
      <c r="AC205" s="324" t="str">
        <f t="shared" si="204"/>
        <v/>
      </c>
      <c r="AD205" s="321"/>
      <c r="AE205" s="322"/>
      <c r="AF205" s="323"/>
      <c r="AG205" s="324">
        <f t="shared" si="205"/>
        <v>10</v>
      </c>
      <c r="AH205" s="321"/>
      <c r="AI205" s="322"/>
      <c r="AJ205" s="323"/>
      <c r="AK205" s="324" t="str">
        <f t="shared" si="206"/>
        <v/>
      </c>
      <c r="AL205" s="321"/>
      <c r="AM205" s="322"/>
      <c r="AN205" s="323"/>
      <c r="AO205" s="324" t="str">
        <f t="shared" si="207"/>
        <v/>
      </c>
      <c r="AP205" s="321"/>
      <c r="AQ205" s="322"/>
      <c r="AR205" s="323"/>
      <c r="AS205" s="324" t="str">
        <f t="shared" si="208"/>
        <v/>
      </c>
      <c r="AT205" s="321"/>
      <c r="AU205" s="322"/>
      <c r="AV205" s="323"/>
      <c r="AW205" s="324" t="str">
        <f t="shared" si="209"/>
        <v/>
      </c>
      <c r="AX205" s="321"/>
      <c r="AY205" s="322"/>
      <c r="AZ205" s="323"/>
      <c r="BA205" s="324" t="str">
        <f t="shared" si="210"/>
        <v/>
      </c>
      <c r="BB205" s="321"/>
      <c r="BC205" s="322"/>
      <c r="BD205" s="323"/>
      <c r="BE205" s="324" t="str">
        <f t="shared" si="211"/>
        <v/>
      </c>
      <c r="BF205" s="321"/>
    </row>
    <row r="206" spans="2:58" ht="14" customHeight="1" thickBot="1" x14ac:dyDescent="0.35">
      <c r="B206" s="735"/>
      <c r="C206" s="673"/>
      <c r="D206" s="273" t="s">
        <v>163</v>
      </c>
      <c r="E206" s="274" t="s">
        <v>211</v>
      </c>
      <c r="F206" s="275" t="s">
        <v>212</v>
      </c>
      <c r="G206" s="274" t="str">
        <f>IF(I203&gt;J203,G203,H203)</f>
        <v>C</v>
      </c>
      <c r="H206" s="275" t="str">
        <f>IF(I204&gt;J204,G204,H204)</f>
        <v>B</v>
      </c>
      <c r="I206" s="460">
        <v>15</v>
      </c>
      <c r="J206" s="275">
        <v>20</v>
      </c>
      <c r="K206" s="325"/>
      <c r="L206" s="326"/>
      <c r="M206" s="327" t="str">
        <f t="shared" si="200"/>
        <v/>
      </c>
      <c r="N206" s="328"/>
      <c r="O206" s="325"/>
      <c r="P206" s="326"/>
      <c r="Q206" s="327">
        <f t="shared" si="201"/>
        <v>20</v>
      </c>
      <c r="R206" s="328"/>
      <c r="S206" s="325"/>
      <c r="T206" s="326"/>
      <c r="U206" s="327">
        <f t="shared" si="202"/>
        <v>15</v>
      </c>
      <c r="V206" s="328"/>
      <c r="W206" s="325"/>
      <c r="X206" s="326"/>
      <c r="Y206" s="327" t="str">
        <f t="shared" si="203"/>
        <v/>
      </c>
      <c r="Z206" s="328"/>
      <c r="AA206" s="325"/>
      <c r="AB206" s="326"/>
      <c r="AC206" s="327" t="str">
        <f t="shared" si="204"/>
        <v/>
      </c>
      <c r="AD206" s="328"/>
      <c r="AE206" s="325"/>
      <c r="AF206" s="326"/>
      <c r="AG206" s="327" t="str">
        <f t="shared" si="205"/>
        <v/>
      </c>
      <c r="AH206" s="328"/>
      <c r="AI206" s="325"/>
      <c r="AJ206" s="326"/>
      <c r="AK206" s="327" t="str">
        <f t="shared" si="206"/>
        <v/>
      </c>
      <c r="AL206" s="328"/>
      <c r="AM206" s="325"/>
      <c r="AN206" s="326"/>
      <c r="AO206" s="327" t="str">
        <f t="shared" si="207"/>
        <v/>
      </c>
      <c r="AP206" s="328"/>
      <c r="AQ206" s="325"/>
      <c r="AR206" s="326"/>
      <c r="AS206" s="327" t="str">
        <f t="shared" si="208"/>
        <v/>
      </c>
      <c r="AT206" s="328"/>
      <c r="AU206" s="325"/>
      <c r="AV206" s="326"/>
      <c r="AW206" s="327" t="str">
        <f t="shared" si="209"/>
        <v/>
      </c>
      <c r="AX206" s="328"/>
      <c r="AY206" s="325"/>
      <c r="AZ206" s="326"/>
      <c r="BA206" s="327" t="str">
        <f t="shared" si="210"/>
        <v/>
      </c>
      <c r="BB206" s="328"/>
      <c r="BC206" s="325"/>
      <c r="BD206" s="326"/>
      <c r="BE206" s="327" t="str">
        <f t="shared" si="211"/>
        <v/>
      </c>
      <c r="BF206" s="328"/>
    </row>
    <row r="207" spans="2:58" ht="14" customHeight="1" x14ac:dyDescent="0.3">
      <c r="B207" s="735"/>
      <c r="C207" s="671" t="s">
        <v>226</v>
      </c>
      <c r="D207" s="264" t="s">
        <v>173</v>
      </c>
      <c r="E207" s="265" t="s">
        <v>199</v>
      </c>
      <c r="F207" s="266" t="s">
        <v>200</v>
      </c>
      <c r="G207" s="267" t="str">
        <f>G200</f>
        <v>D</v>
      </c>
      <c r="H207" s="268" t="str">
        <f t="shared" ref="H207:H213" si="212">H200</f>
        <v>I</v>
      </c>
      <c r="I207" s="89"/>
      <c r="J207" s="85"/>
      <c r="K207" s="313"/>
      <c r="L207" s="314"/>
      <c r="M207" s="314"/>
      <c r="N207" s="316"/>
      <c r="O207" s="313"/>
      <c r="P207" s="314"/>
      <c r="Q207" s="314"/>
      <c r="R207" s="316"/>
      <c r="S207" s="313"/>
      <c r="T207" s="314"/>
      <c r="U207" s="314"/>
      <c r="V207" s="316"/>
      <c r="W207" s="313"/>
      <c r="X207" s="314"/>
      <c r="Y207" s="314"/>
      <c r="Z207" s="316"/>
      <c r="AA207" s="313"/>
      <c r="AB207" s="314"/>
      <c r="AC207" s="314"/>
      <c r="AD207" s="316"/>
      <c r="AE207" s="313"/>
      <c r="AF207" s="314"/>
      <c r="AG207" s="314"/>
      <c r="AH207" s="316"/>
      <c r="AI207" s="313"/>
      <c r="AJ207" s="314"/>
      <c r="AK207" s="314"/>
      <c r="AL207" s="316"/>
      <c r="AM207" s="313"/>
      <c r="AN207" s="314"/>
      <c r="AO207" s="314"/>
      <c r="AP207" s="316"/>
      <c r="AQ207" s="313"/>
      <c r="AR207" s="314"/>
      <c r="AS207" s="314"/>
      <c r="AT207" s="316"/>
      <c r="AU207" s="313"/>
      <c r="AV207" s="314"/>
      <c r="AW207" s="314"/>
      <c r="AX207" s="316"/>
      <c r="AY207" s="313"/>
      <c r="AZ207" s="314"/>
      <c r="BA207" s="314"/>
      <c r="BB207" s="316"/>
      <c r="BC207" s="313"/>
      <c r="BD207" s="314"/>
      <c r="BE207" s="314"/>
      <c r="BF207" s="316"/>
    </row>
    <row r="208" spans="2:58" ht="14" customHeight="1" x14ac:dyDescent="0.3">
      <c r="B208" s="735"/>
      <c r="C208" s="672"/>
      <c r="D208" s="269" t="s">
        <v>174</v>
      </c>
      <c r="E208" s="270" t="s">
        <v>201</v>
      </c>
      <c r="F208" s="271" t="s">
        <v>202</v>
      </c>
      <c r="G208" s="270" t="str">
        <f t="shared" ref="G208:G213" si="213">G201</f>
        <v>H</v>
      </c>
      <c r="H208" s="271" t="str">
        <f t="shared" si="212"/>
        <v>F</v>
      </c>
      <c r="I208" s="89"/>
      <c r="J208" s="85"/>
      <c r="K208" s="317"/>
      <c r="L208" s="318"/>
      <c r="M208" s="318"/>
      <c r="N208" s="320"/>
      <c r="O208" s="317"/>
      <c r="P208" s="318"/>
      <c r="Q208" s="318"/>
      <c r="R208" s="320"/>
      <c r="S208" s="317"/>
      <c r="T208" s="318"/>
      <c r="U208" s="318"/>
      <c r="V208" s="320"/>
      <c r="W208" s="317"/>
      <c r="X208" s="318"/>
      <c r="Y208" s="318"/>
      <c r="Z208" s="320"/>
      <c r="AA208" s="317"/>
      <c r="AB208" s="318"/>
      <c r="AC208" s="318"/>
      <c r="AD208" s="320"/>
      <c r="AE208" s="317"/>
      <c r="AF208" s="318"/>
      <c r="AG208" s="318"/>
      <c r="AH208" s="320"/>
      <c r="AI208" s="317"/>
      <c r="AJ208" s="318"/>
      <c r="AK208" s="318"/>
      <c r="AL208" s="320"/>
      <c r="AM208" s="317"/>
      <c r="AN208" s="318"/>
      <c r="AO208" s="318"/>
      <c r="AP208" s="320"/>
      <c r="AQ208" s="317"/>
      <c r="AR208" s="318"/>
      <c r="AS208" s="318"/>
      <c r="AT208" s="320"/>
      <c r="AU208" s="317"/>
      <c r="AV208" s="318"/>
      <c r="AW208" s="318"/>
      <c r="AX208" s="320"/>
      <c r="AY208" s="317"/>
      <c r="AZ208" s="318"/>
      <c r="BA208" s="318"/>
      <c r="BB208" s="320"/>
      <c r="BC208" s="317"/>
      <c r="BD208" s="318"/>
      <c r="BE208" s="318"/>
      <c r="BF208" s="320"/>
    </row>
    <row r="209" spans="2:58" ht="14" customHeight="1" x14ac:dyDescent="0.3">
      <c r="B209" s="735"/>
      <c r="C209" s="672"/>
      <c r="D209" s="272" t="s">
        <v>175</v>
      </c>
      <c r="E209" s="270" t="s">
        <v>203</v>
      </c>
      <c r="F209" s="271" t="s">
        <v>204</v>
      </c>
      <c r="G209" s="270" t="str">
        <f t="shared" si="213"/>
        <v>I</v>
      </c>
      <c r="H209" s="271" t="str">
        <f t="shared" si="212"/>
        <v>H</v>
      </c>
      <c r="I209" s="89">
        <f t="shared" ref="I209:J209" si="214">IF(ISNUMBER(I202),I202*14,"")</f>
        <v>56</v>
      </c>
      <c r="J209" s="85">
        <f t="shared" si="214"/>
        <v>140</v>
      </c>
      <c r="K209" s="317"/>
      <c r="L209" s="318"/>
      <c r="M209" s="319" t="str">
        <f>IF(ISNUMBER(M202),M202*14,"")</f>
        <v/>
      </c>
      <c r="N209" s="320"/>
      <c r="O209" s="317"/>
      <c r="P209" s="318"/>
      <c r="Q209" s="319" t="str">
        <f>IF(ISNUMBER(Q202),Q202*14,"")</f>
        <v/>
      </c>
      <c r="R209" s="320"/>
      <c r="S209" s="317"/>
      <c r="T209" s="318"/>
      <c r="U209" s="319" t="str">
        <f>IF(ISNUMBER(U202),U202*14,"")</f>
        <v/>
      </c>
      <c r="V209" s="320"/>
      <c r="W209" s="317"/>
      <c r="X209" s="318"/>
      <c r="Y209" s="319" t="str">
        <f>IF(ISNUMBER(Y202),Y202*14,"")</f>
        <v/>
      </c>
      <c r="Z209" s="320"/>
      <c r="AA209" s="317"/>
      <c r="AB209" s="318"/>
      <c r="AC209" s="319" t="str">
        <f>IF(ISNUMBER(AC202),AC202*14,"")</f>
        <v/>
      </c>
      <c r="AD209" s="320"/>
      <c r="AE209" s="317"/>
      <c r="AF209" s="318"/>
      <c r="AG209" s="319" t="str">
        <f>IF(ISNUMBER(AG202),AG202*14,"")</f>
        <v/>
      </c>
      <c r="AH209" s="320"/>
      <c r="AI209" s="317"/>
      <c r="AJ209" s="318"/>
      <c r="AK209" s="319" t="str">
        <f>IF(ISNUMBER(AK202),AK202*14,"")</f>
        <v/>
      </c>
      <c r="AL209" s="320"/>
      <c r="AM209" s="317"/>
      <c r="AN209" s="318"/>
      <c r="AO209" s="319">
        <f>IF(ISNUMBER(AO202),AO202*14,"")</f>
        <v>140</v>
      </c>
      <c r="AP209" s="320"/>
      <c r="AQ209" s="317"/>
      <c r="AR209" s="318"/>
      <c r="AS209" s="319">
        <f>IF(ISNUMBER(AS202),AS202*14,"")</f>
        <v>56</v>
      </c>
      <c r="AT209" s="320"/>
      <c r="AU209" s="317"/>
      <c r="AV209" s="318"/>
      <c r="AW209" s="319" t="str">
        <f>IF(ISNUMBER(AW202),AW202*14,"")</f>
        <v/>
      </c>
      <c r="AX209" s="320"/>
      <c r="AY209" s="317"/>
      <c r="AZ209" s="318"/>
      <c r="BA209" s="319" t="str">
        <f>IF(ISNUMBER(BA202),BA202*14,"")</f>
        <v/>
      </c>
      <c r="BB209" s="320"/>
      <c r="BC209" s="317"/>
      <c r="BD209" s="318"/>
      <c r="BE209" s="319" t="str">
        <f>IF(ISNUMBER(BE202),BE202*14,"")</f>
        <v/>
      </c>
      <c r="BF209" s="320"/>
    </row>
    <row r="210" spans="2:58" ht="14" customHeight="1" x14ac:dyDescent="0.3">
      <c r="B210" s="735"/>
      <c r="C210" s="672"/>
      <c r="D210" s="272" t="s">
        <v>91</v>
      </c>
      <c r="E210" s="270" t="s">
        <v>205</v>
      </c>
      <c r="F210" s="271" t="s">
        <v>206</v>
      </c>
      <c r="G210" s="270" t="str">
        <f t="shared" si="213"/>
        <v>C</v>
      </c>
      <c r="H210" s="271" t="str">
        <f t="shared" si="212"/>
        <v>D</v>
      </c>
      <c r="I210" s="89"/>
      <c r="J210" s="85"/>
      <c r="K210" s="317"/>
      <c r="L210" s="318"/>
      <c r="M210" s="323"/>
      <c r="N210" s="321"/>
      <c r="O210" s="317"/>
      <c r="P210" s="318"/>
      <c r="Q210" s="323"/>
      <c r="R210" s="321"/>
      <c r="S210" s="317"/>
      <c r="T210" s="318"/>
      <c r="U210" s="323"/>
      <c r="V210" s="321"/>
      <c r="W210" s="317"/>
      <c r="X210" s="318"/>
      <c r="Y210" s="323"/>
      <c r="Z210" s="321"/>
      <c r="AA210" s="317"/>
      <c r="AB210" s="318"/>
      <c r="AC210" s="323"/>
      <c r="AD210" s="321"/>
      <c r="AE210" s="317"/>
      <c r="AF210" s="318"/>
      <c r="AG210" s="323"/>
      <c r="AH210" s="321"/>
      <c r="AI210" s="317"/>
      <c r="AJ210" s="318"/>
      <c r="AK210" s="323"/>
      <c r="AL210" s="321"/>
      <c r="AM210" s="317"/>
      <c r="AN210" s="318"/>
      <c r="AO210" s="323"/>
      <c r="AP210" s="321"/>
      <c r="AQ210" s="317"/>
      <c r="AR210" s="318"/>
      <c r="AS210" s="323"/>
      <c r="AT210" s="321"/>
      <c r="AU210" s="317"/>
      <c r="AV210" s="318"/>
      <c r="AW210" s="323"/>
      <c r="AX210" s="321"/>
      <c r="AY210" s="317"/>
      <c r="AZ210" s="318"/>
      <c r="BA210" s="323"/>
      <c r="BB210" s="321"/>
      <c r="BC210" s="317"/>
      <c r="BD210" s="318"/>
      <c r="BE210" s="323"/>
      <c r="BF210" s="321"/>
    </row>
    <row r="211" spans="2:58" ht="14" customHeight="1" x14ac:dyDescent="0.3">
      <c r="B211" s="735"/>
      <c r="C211" s="672"/>
      <c r="D211" s="272" t="s">
        <v>94</v>
      </c>
      <c r="E211" s="270" t="s">
        <v>207</v>
      </c>
      <c r="F211" s="271" t="s">
        <v>208</v>
      </c>
      <c r="G211" s="270" t="str">
        <f t="shared" si="213"/>
        <v>B</v>
      </c>
      <c r="H211" s="271" t="str">
        <f t="shared" si="212"/>
        <v>F</v>
      </c>
      <c r="I211" s="89"/>
      <c r="J211" s="85"/>
      <c r="K211" s="322"/>
      <c r="L211" s="323"/>
      <c r="M211" s="323"/>
      <c r="N211" s="320"/>
      <c r="O211" s="322"/>
      <c r="P211" s="323"/>
      <c r="Q211" s="323"/>
      <c r="R211" s="320"/>
      <c r="S211" s="322"/>
      <c r="T211" s="323"/>
      <c r="U211" s="323"/>
      <c r="V211" s="320"/>
      <c r="W211" s="322"/>
      <c r="X211" s="323"/>
      <c r="Y211" s="323"/>
      <c r="Z211" s="320"/>
      <c r="AA211" s="322"/>
      <c r="AB211" s="323"/>
      <c r="AC211" s="323"/>
      <c r="AD211" s="320"/>
      <c r="AE211" s="322"/>
      <c r="AF211" s="323"/>
      <c r="AG211" s="323"/>
      <c r="AH211" s="320"/>
      <c r="AI211" s="322"/>
      <c r="AJ211" s="323"/>
      <c r="AK211" s="323"/>
      <c r="AL211" s="320"/>
      <c r="AM211" s="322"/>
      <c r="AN211" s="323"/>
      <c r="AO211" s="323"/>
      <c r="AP211" s="320"/>
      <c r="AQ211" s="322"/>
      <c r="AR211" s="323"/>
      <c r="AS211" s="323"/>
      <c r="AT211" s="320"/>
      <c r="AU211" s="322"/>
      <c r="AV211" s="323"/>
      <c r="AW211" s="323"/>
      <c r="AX211" s="320"/>
      <c r="AY211" s="322"/>
      <c r="AZ211" s="323"/>
      <c r="BA211" s="323"/>
      <c r="BB211" s="320"/>
      <c r="BC211" s="322"/>
      <c r="BD211" s="323"/>
      <c r="BE211" s="323"/>
      <c r="BF211" s="320"/>
    </row>
    <row r="212" spans="2:58" ht="14" customHeight="1" x14ac:dyDescent="0.3">
      <c r="B212" s="735"/>
      <c r="C212" s="672"/>
      <c r="D212" s="272" t="s">
        <v>162</v>
      </c>
      <c r="E212" s="270" t="s">
        <v>209</v>
      </c>
      <c r="F212" s="271" t="s">
        <v>210</v>
      </c>
      <c r="G212" s="270" t="str">
        <f t="shared" si="213"/>
        <v>D</v>
      </c>
      <c r="H212" s="271" t="str">
        <f t="shared" si="212"/>
        <v>F</v>
      </c>
      <c r="I212" s="89">
        <f t="shared" ref="I212:J212" si="215">IF(ISNUMBER(I205),(15+I205)*14,"")</f>
        <v>280</v>
      </c>
      <c r="J212" s="85">
        <f t="shared" si="215"/>
        <v>350</v>
      </c>
      <c r="K212" s="322"/>
      <c r="L212" s="323"/>
      <c r="M212" s="324" t="str">
        <f>IF(ISNUMBER(M205),(15+M205)*14,"")</f>
        <v/>
      </c>
      <c r="N212" s="321"/>
      <c r="O212" s="322"/>
      <c r="P212" s="323"/>
      <c r="Q212" s="324" t="str">
        <f>IF(ISNUMBER(Q205),(15+Q205)*14,"")</f>
        <v/>
      </c>
      <c r="R212" s="321"/>
      <c r="S212" s="322"/>
      <c r="T212" s="323"/>
      <c r="U212" s="324" t="str">
        <f>IF(ISNUMBER(U205),(15+U205)*14,"")</f>
        <v/>
      </c>
      <c r="V212" s="321"/>
      <c r="W212" s="322"/>
      <c r="X212" s="323"/>
      <c r="Y212" s="324">
        <f>IF(ISNUMBER(Y205),(15+Y205)*14,"")</f>
        <v>280</v>
      </c>
      <c r="Z212" s="321"/>
      <c r="AA212" s="322"/>
      <c r="AB212" s="323"/>
      <c r="AC212" s="324" t="str">
        <f>IF(ISNUMBER(AC205),(15+AC205)*14,"")</f>
        <v/>
      </c>
      <c r="AD212" s="321"/>
      <c r="AE212" s="322"/>
      <c r="AF212" s="323"/>
      <c r="AG212" s="324">
        <f>IF(ISNUMBER(AG205),(15+AG205)*14,"")</f>
        <v>350</v>
      </c>
      <c r="AH212" s="321"/>
      <c r="AI212" s="322"/>
      <c r="AJ212" s="323"/>
      <c r="AK212" s="324" t="str">
        <f>IF(ISNUMBER(AK205),(15+AK205)*14,"")</f>
        <v/>
      </c>
      <c r="AL212" s="321"/>
      <c r="AM212" s="322"/>
      <c r="AN212" s="323"/>
      <c r="AO212" s="324" t="str">
        <f>IF(ISNUMBER(AO205),(15+AO205)*14,"")</f>
        <v/>
      </c>
      <c r="AP212" s="321"/>
      <c r="AQ212" s="322"/>
      <c r="AR212" s="323"/>
      <c r="AS212" s="324" t="str">
        <f>IF(ISNUMBER(AS205),(15+AS205)*14,"")</f>
        <v/>
      </c>
      <c r="AT212" s="321"/>
      <c r="AU212" s="322"/>
      <c r="AV212" s="323"/>
      <c r="AW212" s="324" t="str">
        <f>IF(ISNUMBER(AW205),(15+AW205)*14,"")</f>
        <v/>
      </c>
      <c r="AX212" s="321"/>
      <c r="AY212" s="322"/>
      <c r="AZ212" s="323"/>
      <c r="BA212" s="324" t="str">
        <f>IF(ISNUMBER(BA205),(15+BA205)*14,"")</f>
        <v/>
      </c>
      <c r="BB212" s="321"/>
      <c r="BC212" s="322"/>
      <c r="BD212" s="323"/>
      <c r="BE212" s="324" t="str">
        <f>IF(ISNUMBER(BE205),(15+BE205)*14,"")</f>
        <v/>
      </c>
      <c r="BF212" s="321"/>
    </row>
    <row r="213" spans="2:58" ht="14" customHeight="1" thickBot="1" x14ac:dyDescent="0.35">
      <c r="B213" s="735"/>
      <c r="C213" s="674"/>
      <c r="D213" s="273" t="s">
        <v>163</v>
      </c>
      <c r="E213" s="274" t="s">
        <v>211</v>
      </c>
      <c r="F213" s="275" t="s">
        <v>212</v>
      </c>
      <c r="G213" s="274" t="str">
        <f t="shared" si="213"/>
        <v>C</v>
      </c>
      <c r="H213" s="275" t="str">
        <f t="shared" si="212"/>
        <v>B</v>
      </c>
      <c r="I213" s="111">
        <f t="shared" ref="I213:J213" si="216">IF(ISNUMBER(I206),(40+I206)*14,"")</f>
        <v>770</v>
      </c>
      <c r="J213" s="112">
        <f t="shared" si="216"/>
        <v>840</v>
      </c>
      <c r="K213" s="325"/>
      <c r="L213" s="326"/>
      <c r="M213" s="327" t="str">
        <f>IF(ISNUMBER(M206),(40+M206)*14,"")</f>
        <v/>
      </c>
      <c r="N213" s="328"/>
      <c r="O213" s="325"/>
      <c r="P213" s="326"/>
      <c r="Q213" s="327">
        <f>IF(ISNUMBER(Q206),(40+Q206)*14,"")</f>
        <v>840</v>
      </c>
      <c r="R213" s="328"/>
      <c r="S213" s="325"/>
      <c r="T213" s="326"/>
      <c r="U213" s="327">
        <f>IF(ISNUMBER(U206),(40+U206)*14,"")</f>
        <v>770</v>
      </c>
      <c r="V213" s="328"/>
      <c r="W213" s="325"/>
      <c r="X213" s="326"/>
      <c r="Y213" s="327" t="str">
        <f>IF(ISNUMBER(Y206),(40+Y206)*14,"")</f>
        <v/>
      </c>
      <c r="Z213" s="328"/>
      <c r="AA213" s="325"/>
      <c r="AB213" s="326"/>
      <c r="AC213" s="327" t="str">
        <f>IF(ISNUMBER(AC206),(40+AC206)*14,"")</f>
        <v/>
      </c>
      <c r="AD213" s="328"/>
      <c r="AE213" s="325"/>
      <c r="AF213" s="326"/>
      <c r="AG213" s="327" t="str">
        <f>IF(ISNUMBER(AG206),(40+AG206)*14,"")</f>
        <v/>
      </c>
      <c r="AH213" s="328"/>
      <c r="AI213" s="325"/>
      <c r="AJ213" s="326"/>
      <c r="AK213" s="327" t="str">
        <f>IF(ISNUMBER(AK206),(40+AK206)*14,"")</f>
        <v/>
      </c>
      <c r="AL213" s="328"/>
      <c r="AM213" s="325"/>
      <c r="AN213" s="326"/>
      <c r="AO213" s="327" t="str">
        <f>IF(ISNUMBER(AO206),(40+AO206)*14,"")</f>
        <v/>
      </c>
      <c r="AP213" s="328"/>
      <c r="AQ213" s="325"/>
      <c r="AR213" s="326"/>
      <c r="AS213" s="327" t="str">
        <f>IF(ISNUMBER(AS206),(40+AS206)*14,"")</f>
        <v/>
      </c>
      <c r="AT213" s="328"/>
      <c r="AU213" s="325"/>
      <c r="AV213" s="326"/>
      <c r="AW213" s="327" t="str">
        <f>IF(ISNUMBER(AW206),(40+AW206)*14,"")</f>
        <v/>
      </c>
      <c r="AX213" s="328"/>
      <c r="AY213" s="325"/>
      <c r="AZ213" s="326"/>
      <c r="BA213" s="327" t="str">
        <f>IF(ISNUMBER(BA206),(40+BA206)*14,"")</f>
        <v/>
      </c>
      <c r="BB213" s="328"/>
      <c r="BC213" s="325"/>
      <c r="BD213" s="326"/>
      <c r="BE213" s="327" t="str">
        <f>IF(ISNUMBER(BE206),(40+BE206)*14,"")</f>
        <v/>
      </c>
      <c r="BF213" s="328"/>
    </row>
    <row r="214" spans="2:58" ht="14" customHeight="1" x14ac:dyDescent="0.3">
      <c r="B214" s="735"/>
      <c r="C214" s="544" t="s">
        <v>320</v>
      </c>
      <c r="D214" s="276" t="s">
        <v>173</v>
      </c>
      <c r="E214" s="277" t="s">
        <v>288</v>
      </c>
      <c r="F214" s="278" t="s">
        <v>289</v>
      </c>
      <c r="G214" s="279" t="str">
        <f>VLOOKUP(E214,AM$164:AN$169,2,FALSE)</f>
        <v>C</v>
      </c>
      <c r="H214" s="280" t="str">
        <f>VLOOKUP(F214,AM$164:AN$169,2,FALSE)</f>
        <v>A</v>
      </c>
      <c r="I214" s="277">
        <v>5</v>
      </c>
      <c r="J214" s="329">
        <v>4</v>
      </c>
      <c r="K214" s="332"/>
      <c r="L214" s="333"/>
      <c r="M214" s="333"/>
      <c r="N214" s="350">
        <f>IF(ISNUMBER(FIND(K$13,$G214)),$I214,IF(ISNUMBER(FIND(K$13,$H214)),$J214,""))</f>
        <v>4</v>
      </c>
      <c r="O214" s="332"/>
      <c r="P214" s="333"/>
      <c r="Q214" s="333"/>
      <c r="R214" s="350" t="str">
        <f>IF(ISNUMBER(FIND(O$13,$G214)),$I214,IF(ISNUMBER(FIND(O$13,$H214)),$J214,""))</f>
        <v/>
      </c>
      <c r="S214" s="332"/>
      <c r="T214" s="333"/>
      <c r="U214" s="333"/>
      <c r="V214" s="350">
        <f>IF(ISNUMBER(FIND(S$13,$G214)),$I214,IF(ISNUMBER(FIND(S$13,$H214)),$J214,""))</f>
        <v>5</v>
      </c>
      <c r="W214" s="332"/>
      <c r="X214" s="333"/>
      <c r="Y214" s="333"/>
      <c r="Z214" s="350" t="str">
        <f>IF(ISNUMBER(FIND(W$13,$G214)),$I214,IF(ISNUMBER(FIND(W$13,$H214)),$J214,""))</f>
        <v/>
      </c>
      <c r="AA214" s="332"/>
      <c r="AB214" s="333"/>
      <c r="AC214" s="333"/>
      <c r="AD214" s="350" t="str">
        <f>IF(ISNUMBER(FIND(AA$13,$G214)),$I214,IF(ISNUMBER(FIND(AA$13,$H214)),$J214,""))</f>
        <v/>
      </c>
      <c r="AE214" s="332"/>
      <c r="AF214" s="333"/>
      <c r="AG214" s="333"/>
      <c r="AH214" s="350" t="str">
        <f>IF(ISNUMBER(FIND(AE$13,$G214)),$I214,IF(ISNUMBER(FIND(AE$13,$H214)),$J214,""))</f>
        <v/>
      </c>
      <c r="AI214" s="332"/>
      <c r="AJ214" s="333"/>
      <c r="AK214" s="333"/>
      <c r="AL214" s="350" t="str">
        <f>IF(ISNUMBER(FIND(AI$13,$G214)),$I214,IF(ISNUMBER(FIND(AI$13,$H214)),$J214,""))</f>
        <v/>
      </c>
      <c r="AM214" s="332"/>
      <c r="AN214" s="333"/>
      <c r="AO214" s="333"/>
      <c r="AP214" s="350" t="str">
        <f>IF(ISNUMBER(FIND(AM$13,$G214)),$I214,IF(ISNUMBER(FIND(AM$13,$H214)),$J214,""))</f>
        <v/>
      </c>
      <c r="AQ214" s="332"/>
      <c r="AR214" s="333"/>
      <c r="AS214" s="333"/>
      <c r="AT214" s="350" t="str">
        <f>IF(ISNUMBER(FIND(AQ$13,$G214)),$I214,IF(ISNUMBER(FIND(AQ$13,$H214)),$J214,""))</f>
        <v/>
      </c>
      <c r="AU214" s="332"/>
      <c r="AV214" s="333"/>
      <c r="AW214" s="333"/>
      <c r="AX214" s="350" t="str">
        <f>IF(ISNUMBER(FIND(AU$13,$G214)),$I214,IF(ISNUMBER(FIND(AU$13,$H214)),$J214,""))</f>
        <v/>
      </c>
      <c r="AY214" s="332"/>
      <c r="AZ214" s="333"/>
      <c r="BA214" s="333"/>
      <c r="BB214" s="350" t="str">
        <f>IF(ISNUMBER(FIND(AY$13,$G214)),$I214,IF(ISNUMBER(FIND(AY$13,$H214)),$J214,""))</f>
        <v/>
      </c>
      <c r="BC214" s="332"/>
      <c r="BD214" s="333"/>
      <c r="BE214" s="333"/>
      <c r="BF214" s="358" t="str">
        <f>IF(ISNUMBER(FIND(BC$13,$G214)),$I214,IF(ISNUMBER(FIND(BC$13,$H214)),$J214,""))</f>
        <v/>
      </c>
    </row>
    <row r="215" spans="2:58" ht="14" customHeight="1" x14ac:dyDescent="0.3">
      <c r="B215" s="735"/>
      <c r="C215" s="545"/>
      <c r="D215" s="281" t="s">
        <v>174</v>
      </c>
      <c r="E215" s="282" t="s">
        <v>287</v>
      </c>
      <c r="F215" s="283" t="s">
        <v>290</v>
      </c>
      <c r="G215" s="282" t="str">
        <f>VLOOKUP(E215,AM$164:AN$169,2,FALSE)</f>
        <v>J</v>
      </c>
      <c r="H215" s="283" t="str">
        <f>VLOOKUP(F215,AM$164:AN$169,2,FALSE)</f>
        <v>F</v>
      </c>
      <c r="I215" s="282">
        <v>5</v>
      </c>
      <c r="J215" s="330">
        <v>1</v>
      </c>
      <c r="K215" s="334"/>
      <c r="L215" s="335"/>
      <c r="M215" s="335"/>
      <c r="N215" s="351" t="str">
        <f t="shared" ref="N215:N220" si="217">IF(ISNUMBER(FIND(K$13,$G215)),$I215,IF(ISNUMBER(FIND(K$13,$H215)),$J215,""))</f>
        <v/>
      </c>
      <c r="O215" s="334"/>
      <c r="P215" s="335"/>
      <c r="Q215" s="335"/>
      <c r="R215" s="351" t="str">
        <f t="shared" ref="R215:R220" si="218">IF(ISNUMBER(FIND(O$13,$G215)),$I215,IF(ISNUMBER(FIND(O$13,$H215)),$J215,""))</f>
        <v/>
      </c>
      <c r="S215" s="334"/>
      <c r="T215" s="335"/>
      <c r="U215" s="335"/>
      <c r="V215" s="351" t="str">
        <f t="shared" ref="V215:V220" si="219">IF(ISNUMBER(FIND(S$13,$G215)),$I215,IF(ISNUMBER(FIND(S$13,$H215)),$J215,""))</f>
        <v/>
      </c>
      <c r="W215" s="334"/>
      <c r="X215" s="335"/>
      <c r="Y215" s="335"/>
      <c r="Z215" s="351" t="str">
        <f t="shared" ref="Z215:Z220" si="220">IF(ISNUMBER(FIND(W$13,$G215)),$I215,IF(ISNUMBER(FIND(W$13,$H215)),$J215,""))</f>
        <v/>
      </c>
      <c r="AA215" s="334"/>
      <c r="AB215" s="335"/>
      <c r="AC215" s="335"/>
      <c r="AD215" s="351" t="str">
        <f t="shared" ref="AD215:AD220" si="221">IF(ISNUMBER(FIND(AA$13,$G215)),$I215,IF(ISNUMBER(FIND(AA$13,$H215)),$J215,""))</f>
        <v/>
      </c>
      <c r="AE215" s="334"/>
      <c r="AF215" s="335"/>
      <c r="AG215" s="335"/>
      <c r="AH215" s="351">
        <f t="shared" ref="AH215:AH220" si="222">IF(ISNUMBER(FIND(AE$13,$G215)),$I215,IF(ISNUMBER(FIND(AE$13,$H215)),$J215,""))</f>
        <v>1</v>
      </c>
      <c r="AI215" s="334"/>
      <c r="AJ215" s="335"/>
      <c r="AK215" s="335"/>
      <c r="AL215" s="351" t="str">
        <f t="shared" ref="AL215:AL220" si="223">IF(ISNUMBER(FIND(AI$13,$G215)),$I215,IF(ISNUMBER(FIND(AI$13,$H215)),$J215,""))</f>
        <v/>
      </c>
      <c r="AM215" s="334"/>
      <c r="AN215" s="335"/>
      <c r="AO215" s="335"/>
      <c r="AP215" s="351" t="str">
        <f t="shared" ref="AP215:AP220" si="224">IF(ISNUMBER(FIND(AM$13,$G215)),$I215,IF(ISNUMBER(FIND(AM$13,$H215)),$J215,""))</f>
        <v/>
      </c>
      <c r="AQ215" s="334"/>
      <c r="AR215" s="335"/>
      <c r="AS215" s="335"/>
      <c r="AT215" s="351" t="str">
        <f t="shared" ref="AT215:AT220" si="225">IF(ISNUMBER(FIND(AQ$13,$G215)),$I215,IF(ISNUMBER(FIND(AQ$13,$H215)),$J215,""))</f>
        <v/>
      </c>
      <c r="AU215" s="334"/>
      <c r="AV215" s="335"/>
      <c r="AW215" s="335"/>
      <c r="AX215" s="351">
        <f t="shared" ref="AX215:AX220" si="226">IF(ISNUMBER(FIND(AU$13,$G215)),$I215,IF(ISNUMBER(FIND(AU$13,$H215)),$J215,""))</f>
        <v>5</v>
      </c>
      <c r="AY215" s="334"/>
      <c r="AZ215" s="335"/>
      <c r="BA215" s="335"/>
      <c r="BB215" s="351" t="str">
        <f t="shared" ref="BB215:BB220" si="227">IF(ISNUMBER(FIND(AY$13,$G215)),$I215,IF(ISNUMBER(FIND(AY$13,$H215)),$J215,""))</f>
        <v/>
      </c>
      <c r="BC215" s="334"/>
      <c r="BD215" s="335"/>
      <c r="BE215" s="335"/>
      <c r="BF215" s="359" t="str">
        <f t="shared" ref="BF215:BF220" si="228">IF(ISNUMBER(FIND(BC$13,$G215)),$I215,IF(ISNUMBER(FIND(BC$13,$H215)),$J215,""))</f>
        <v/>
      </c>
    </row>
    <row r="216" spans="2:58" ht="14" customHeight="1" x14ac:dyDescent="0.3">
      <c r="B216" s="735"/>
      <c r="C216" s="545"/>
      <c r="D216" s="284" t="s">
        <v>175</v>
      </c>
      <c r="E216" s="282" t="s">
        <v>293</v>
      </c>
      <c r="F216" s="283" t="s">
        <v>294</v>
      </c>
      <c r="G216" s="282" t="str">
        <f>IF(J214&lt;I214,H214,IF(J214&gt;I214,G214,""))</f>
        <v>A</v>
      </c>
      <c r="H216" s="283" t="str">
        <f>IF(I215&lt;J215,G215,IF(I215&gt;J215,H215,""))</f>
        <v>F</v>
      </c>
      <c r="I216" s="282">
        <v>5</v>
      </c>
      <c r="J216" s="330">
        <v>2</v>
      </c>
      <c r="K216" s="334"/>
      <c r="L216" s="335"/>
      <c r="M216" s="335"/>
      <c r="N216" s="351">
        <f t="shared" si="217"/>
        <v>5</v>
      </c>
      <c r="O216" s="334"/>
      <c r="P216" s="335"/>
      <c r="Q216" s="335"/>
      <c r="R216" s="351" t="str">
        <f t="shared" si="218"/>
        <v/>
      </c>
      <c r="S216" s="334"/>
      <c r="T216" s="335"/>
      <c r="U216" s="335"/>
      <c r="V216" s="351" t="str">
        <f t="shared" si="219"/>
        <v/>
      </c>
      <c r="W216" s="334"/>
      <c r="X216" s="335"/>
      <c r="Y216" s="335"/>
      <c r="Z216" s="351" t="str">
        <f t="shared" si="220"/>
        <v/>
      </c>
      <c r="AA216" s="334"/>
      <c r="AB216" s="335"/>
      <c r="AC216" s="335"/>
      <c r="AD216" s="351" t="str">
        <f t="shared" si="221"/>
        <v/>
      </c>
      <c r="AE216" s="334"/>
      <c r="AF216" s="335"/>
      <c r="AG216" s="335"/>
      <c r="AH216" s="351">
        <f t="shared" si="222"/>
        <v>2</v>
      </c>
      <c r="AI216" s="334"/>
      <c r="AJ216" s="335"/>
      <c r="AK216" s="335"/>
      <c r="AL216" s="351" t="str">
        <f t="shared" si="223"/>
        <v/>
      </c>
      <c r="AM216" s="334"/>
      <c r="AN216" s="335"/>
      <c r="AO216" s="335"/>
      <c r="AP216" s="351" t="str">
        <f t="shared" si="224"/>
        <v/>
      </c>
      <c r="AQ216" s="334"/>
      <c r="AR216" s="335"/>
      <c r="AS216" s="335"/>
      <c r="AT216" s="351" t="str">
        <f t="shared" si="225"/>
        <v/>
      </c>
      <c r="AU216" s="334"/>
      <c r="AV216" s="335"/>
      <c r="AW216" s="335"/>
      <c r="AX216" s="351" t="str">
        <f t="shared" si="226"/>
        <v/>
      </c>
      <c r="AY216" s="334"/>
      <c r="AZ216" s="335"/>
      <c r="BA216" s="335"/>
      <c r="BB216" s="351" t="str">
        <f t="shared" si="227"/>
        <v/>
      </c>
      <c r="BC216" s="334"/>
      <c r="BD216" s="335"/>
      <c r="BE216" s="335"/>
      <c r="BF216" s="359" t="str">
        <f t="shared" si="228"/>
        <v/>
      </c>
    </row>
    <row r="217" spans="2:58" ht="14" customHeight="1" x14ac:dyDescent="0.3">
      <c r="B217" s="735"/>
      <c r="C217" s="545"/>
      <c r="D217" s="284" t="s">
        <v>91</v>
      </c>
      <c r="E217" s="282" t="s">
        <v>285</v>
      </c>
      <c r="F217" s="283" t="s">
        <v>295</v>
      </c>
      <c r="G217" s="282" t="str">
        <f>VLOOKUP(E217,AM$164:AN$169,2,FALSE)</f>
        <v>H</v>
      </c>
      <c r="H217" s="283" t="str">
        <f>IF(I214&gt;J214,G214,IF(I214&lt;J214,H214,""))</f>
        <v>C</v>
      </c>
      <c r="I217" s="282">
        <v>2</v>
      </c>
      <c r="J217" s="330">
        <v>7</v>
      </c>
      <c r="K217" s="334"/>
      <c r="L217" s="335"/>
      <c r="M217" s="336"/>
      <c r="N217" s="351" t="str">
        <f t="shared" si="217"/>
        <v/>
      </c>
      <c r="O217" s="334"/>
      <c r="P217" s="335"/>
      <c r="Q217" s="336"/>
      <c r="R217" s="351" t="str">
        <f t="shared" si="218"/>
        <v/>
      </c>
      <c r="S217" s="334"/>
      <c r="T217" s="335"/>
      <c r="U217" s="336"/>
      <c r="V217" s="351">
        <f t="shared" si="219"/>
        <v>7</v>
      </c>
      <c r="W217" s="334"/>
      <c r="X217" s="335"/>
      <c r="Y217" s="336"/>
      <c r="Z217" s="351" t="str">
        <f t="shared" si="220"/>
        <v/>
      </c>
      <c r="AA217" s="334"/>
      <c r="AB217" s="335"/>
      <c r="AC217" s="336"/>
      <c r="AD217" s="351" t="str">
        <f t="shared" si="221"/>
        <v/>
      </c>
      <c r="AE217" s="334"/>
      <c r="AF217" s="335"/>
      <c r="AG217" s="336"/>
      <c r="AH217" s="351" t="str">
        <f t="shared" si="222"/>
        <v/>
      </c>
      <c r="AI217" s="334"/>
      <c r="AJ217" s="335"/>
      <c r="AK217" s="336"/>
      <c r="AL217" s="351" t="str">
        <f t="shared" si="223"/>
        <v/>
      </c>
      <c r="AM217" s="334"/>
      <c r="AN217" s="335"/>
      <c r="AO217" s="336"/>
      <c r="AP217" s="351">
        <f t="shared" si="224"/>
        <v>2</v>
      </c>
      <c r="AQ217" s="334"/>
      <c r="AR217" s="335"/>
      <c r="AS217" s="336"/>
      <c r="AT217" s="351" t="str">
        <f t="shared" si="225"/>
        <v/>
      </c>
      <c r="AU217" s="334"/>
      <c r="AV217" s="335"/>
      <c r="AW217" s="336"/>
      <c r="AX217" s="351" t="str">
        <f t="shared" si="226"/>
        <v/>
      </c>
      <c r="AY217" s="334"/>
      <c r="AZ217" s="335"/>
      <c r="BA217" s="336"/>
      <c r="BB217" s="351" t="str">
        <f t="shared" si="227"/>
        <v/>
      </c>
      <c r="BC217" s="334"/>
      <c r="BD217" s="335"/>
      <c r="BE217" s="336"/>
      <c r="BF217" s="359" t="str">
        <f t="shared" si="228"/>
        <v/>
      </c>
    </row>
    <row r="218" spans="2:58" ht="14" customHeight="1" x14ac:dyDescent="0.3">
      <c r="B218" s="735"/>
      <c r="C218" s="545"/>
      <c r="D218" s="284" t="s">
        <v>94</v>
      </c>
      <c r="E218" s="282" t="s">
        <v>286</v>
      </c>
      <c r="F218" s="283" t="s">
        <v>296</v>
      </c>
      <c r="G218" s="282" t="str">
        <f>VLOOKUP(E218,AM$164:AN$169,2,FALSE)</f>
        <v>K</v>
      </c>
      <c r="H218" s="283" t="str">
        <f>IF(I215&gt;J215,G215,IF(I215&lt;J215,H215,""))</f>
        <v>J</v>
      </c>
      <c r="I218" s="282">
        <v>6</v>
      </c>
      <c r="J218" s="330">
        <v>7</v>
      </c>
      <c r="K218" s="337"/>
      <c r="L218" s="336"/>
      <c r="M218" s="335"/>
      <c r="N218" s="352" t="str">
        <f t="shared" si="217"/>
        <v/>
      </c>
      <c r="O218" s="337"/>
      <c r="P218" s="336"/>
      <c r="Q218" s="335"/>
      <c r="R218" s="352" t="str">
        <f t="shared" si="218"/>
        <v/>
      </c>
      <c r="S218" s="337"/>
      <c r="T218" s="336"/>
      <c r="U218" s="335"/>
      <c r="V218" s="352" t="str">
        <f t="shared" si="219"/>
        <v/>
      </c>
      <c r="W218" s="337"/>
      <c r="X218" s="336"/>
      <c r="Y218" s="335"/>
      <c r="Z218" s="352" t="str">
        <f t="shared" si="220"/>
        <v/>
      </c>
      <c r="AA218" s="337"/>
      <c r="AB218" s="336"/>
      <c r="AC218" s="335"/>
      <c r="AD218" s="352" t="str">
        <f t="shared" si="221"/>
        <v/>
      </c>
      <c r="AE218" s="337"/>
      <c r="AF218" s="336"/>
      <c r="AG218" s="335"/>
      <c r="AH218" s="352" t="str">
        <f t="shared" si="222"/>
        <v/>
      </c>
      <c r="AI218" s="337"/>
      <c r="AJ218" s="336"/>
      <c r="AK218" s="335"/>
      <c r="AL218" s="352" t="str">
        <f t="shared" si="223"/>
        <v/>
      </c>
      <c r="AM218" s="337"/>
      <c r="AN218" s="336"/>
      <c r="AO218" s="335"/>
      <c r="AP218" s="352" t="str">
        <f t="shared" si="224"/>
        <v/>
      </c>
      <c r="AQ218" s="337"/>
      <c r="AR218" s="336"/>
      <c r="AS218" s="335"/>
      <c r="AT218" s="352" t="str">
        <f t="shared" si="225"/>
        <v/>
      </c>
      <c r="AU218" s="337"/>
      <c r="AV218" s="336"/>
      <c r="AW218" s="335"/>
      <c r="AX218" s="352">
        <f t="shared" si="226"/>
        <v>7</v>
      </c>
      <c r="AY218" s="337"/>
      <c r="AZ218" s="336"/>
      <c r="BA218" s="335"/>
      <c r="BB218" s="352">
        <f t="shared" si="227"/>
        <v>6</v>
      </c>
      <c r="BC218" s="337"/>
      <c r="BD218" s="336"/>
      <c r="BE218" s="335"/>
      <c r="BF218" s="360" t="str">
        <f t="shared" si="228"/>
        <v/>
      </c>
    </row>
    <row r="219" spans="2:58" ht="14" customHeight="1" x14ac:dyDescent="0.3">
      <c r="B219" s="735"/>
      <c r="C219" s="545"/>
      <c r="D219" s="284" t="s">
        <v>162</v>
      </c>
      <c r="E219" s="282" t="s">
        <v>297</v>
      </c>
      <c r="F219" s="283" t="s">
        <v>298</v>
      </c>
      <c r="G219" s="282" t="str">
        <f>IF(I217&lt;J217,G217,H217)</f>
        <v>H</v>
      </c>
      <c r="H219" s="283" t="str">
        <f>IF(I218&lt;J218,G218,H218)</f>
        <v>K</v>
      </c>
      <c r="I219" s="282">
        <v>7</v>
      </c>
      <c r="J219" s="330">
        <v>5</v>
      </c>
      <c r="K219" s="337"/>
      <c r="L219" s="336"/>
      <c r="M219" s="336"/>
      <c r="N219" s="352" t="str">
        <f t="shared" si="217"/>
        <v/>
      </c>
      <c r="O219" s="337"/>
      <c r="P219" s="336"/>
      <c r="Q219" s="336"/>
      <c r="R219" s="352" t="str">
        <f t="shared" si="218"/>
        <v/>
      </c>
      <c r="S219" s="337"/>
      <c r="T219" s="336"/>
      <c r="U219" s="336"/>
      <c r="V219" s="352" t="str">
        <f t="shared" si="219"/>
        <v/>
      </c>
      <c r="W219" s="337"/>
      <c r="X219" s="336"/>
      <c r="Y219" s="336"/>
      <c r="Z219" s="352" t="str">
        <f t="shared" si="220"/>
        <v/>
      </c>
      <c r="AA219" s="337"/>
      <c r="AB219" s="336"/>
      <c r="AC219" s="336"/>
      <c r="AD219" s="352" t="str">
        <f t="shared" si="221"/>
        <v/>
      </c>
      <c r="AE219" s="337"/>
      <c r="AF219" s="336"/>
      <c r="AG219" s="336"/>
      <c r="AH219" s="352" t="str">
        <f t="shared" si="222"/>
        <v/>
      </c>
      <c r="AI219" s="337"/>
      <c r="AJ219" s="336"/>
      <c r="AK219" s="336"/>
      <c r="AL219" s="352" t="str">
        <f t="shared" si="223"/>
        <v/>
      </c>
      <c r="AM219" s="337"/>
      <c r="AN219" s="336"/>
      <c r="AO219" s="336"/>
      <c r="AP219" s="352">
        <f t="shared" si="224"/>
        <v>7</v>
      </c>
      <c r="AQ219" s="337"/>
      <c r="AR219" s="336"/>
      <c r="AS219" s="336"/>
      <c r="AT219" s="352" t="str">
        <f t="shared" si="225"/>
        <v/>
      </c>
      <c r="AU219" s="337"/>
      <c r="AV219" s="336"/>
      <c r="AW219" s="336"/>
      <c r="AX219" s="352" t="str">
        <f t="shared" si="226"/>
        <v/>
      </c>
      <c r="AY219" s="337"/>
      <c r="AZ219" s="336"/>
      <c r="BA219" s="336"/>
      <c r="BB219" s="352">
        <f t="shared" si="227"/>
        <v>5</v>
      </c>
      <c r="BC219" s="337"/>
      <c r="BD219" s="336"/>
      <c r="BE219" s="336"/>
      <c r="BF219" s="360" t="str">
        <f t="shared" si="228"/>
        <v/>
      </c>
    </row>
    <row r="220" spans="2:58" ht="14" customHeight="1" thickBot="1" x14ac:dyDescent="0.35">
      <c r="B220" s="735"/>
      <c r="C220" s="546"/>
      <c r="D220" s="285" t="s">
        <v>163</v>
      </c>
      <c r="E220" s="286" t="s">
        <v>299</v>
      </c>
      <c r="F220" s="287" t="s">
        <v>300</v>
      </c>
      <c r="G220" s="286" t="str">
        <f>IF(I217&gt;J217,G217,H217)</f>
        <v>C</v>
      </c>
      <c r="H220" s="287" t="str">
        <f>IF(I218&gt;J218,G218,H218)</f>
        <v>J</v>
      </c>
      <c r="I220" s="286">
        <v>10</v>
      </c>
      <c r="J220" s="331">
        <v>3</v>
      </c>
      <c r="K220" s="338"/>
      <c r="L220" s="339"/>
      <c r="M220" s="340"/>
      <c r="N220" s="353" t="str">
        <f t="shared" si="217"/>
        <v/>
      </c>
      <c r="O220" s="338"/>
      <c r="P220" s="339"/>
      <c r="Q220" s="340"/>
      <c r="R220" s="353" t="str">
        <f t="shared" si="218"/>
        <v/>
      </c>
      <c r="S220" s="338"/>
      <c r="T220" s="339"/>
      <c r="U220" s="340"/>
      <c r="V220" s="353">
        <f t="shared" si="219"/>
        <v>10</v>
      </c>
      <c r="W220" s="338"/>
      <c r="X220" s="339"/>
      <c r="Y220" s="340"/>
      <c r="Z220" s="353" t="str">
        <f t="shared" si="220"/>
        <v/>
      </c>
      <c r="AA220" s="338"/>
      <c r="AB220" s="339"/>
      <c r="AC220" s="340"/>
      <c r="AD220" s="353" t="str">
        <f t="shared" si="221"/>
        <v/>
      </c>
      <c r="AE220" s="338"/>
      <c r="AF220" s="339"/>
      <c r="AG220" s="340"/>
      <c r="AH220" s="353" t="str">
        <f t="shared" si="222"/>
        <v/>
      </c>
      <c r="AI220" s="338"/>
      <c r="AJ220" s="339"/>
      <c r="AK220" s="340"/>
      <c r="AL220" s="353" t="str">
        <f t="shared" si="223"/>
        <v/>
      </c>
      <c r="AM220" s="338"/>
      <c r="AN220" s="339"/>
      <c r="AO220" s="340"/>
      <c r="AP220" s="353" t="str">
        <f t="shared" si="224"/>
        <v/>
      </c>
      <c r="AQ220" s="338"/>
      <c r="AR220" s="339"/>
      <c r="AS220" s="340"/>
      <c r="AT220" s="353" t="str">
        <f t="shared" si="225"/>
        <v/>
      </c>
      <c r="AU220" s="338"/>
      <c r="AV220" s="339"/>
      <c r="AW220" s="340"/>
      <c r="AX220" s="353">
        <f t="shared" si="226"/>
        <v>3</v>
      </c>
      <c r="AY220" s="338"/>
      <c r="AZ220" s="339"/>
      <c r="BA220" s="340"/>
      <c r="BB220" s="353" t="str">
        <f t="shared" si="227"/>
        <v/>
      </c>
      <c r="BC220" s="338"/>
      <c r="BD220" s="339"/>
      <c r="BE220" s="340"/>
      <c r="BF220" s="361" t="str">
        <f t="shared" si="228"/>
        <v/>
      </c>
    </row>
    <row r="221" spans="2:58" ht="14" customHeight="1" x14ac:dyDescent="0.3">
      <c r="B221" s="735"/>
      <c r="C221" s="544" t="s">
        <v>321</v>
      </c>
      <c r="D221" s="276" t="s">
        <v>173</v>
      </c>
      <c r="E221" s="277" t="s">
        <v>288</v>
      </c>
      <c r="F221" s="278" t="s">
        <v>289</v>
      </c>
      <c r="G221" s="279" t="str">
        <f>G214</f>
        <v>C</v>
      </c>
      <c r="H221" s="280" t="str">
        <f t="shared" ref="H221" si="229">H214</f>
        <v>A</v>
      </c>
      <c r="I221" s="186"/>
      <c r="J221" s="365"/>
      <c r="K221" s="341"/>
      <c r="L221" s="342"/>
      <c r="M221" s="335"/>
      <c r="N221" s="354"/>
      <c r="O221" s="332"/>
      <c r="P221" s="333"/>
      <c r="Q221" s="335"/>
      <c r="R221" s="354"/>
      <c r="S221" s="332"/>
      <c r="T221" s="333"/>
      <c r="U221" s="335"/>
      <c r="V221" s="354"/>
      <c r="W221" s="332"/>
      <c r="X221" s="333"/>
      <c r="Y221" s="335"/>
      <c r="Z221" s="354"/>
      <c r="AA221" s="332"/>
      <c r="AB221" s="333"/>
      <c r="AC221" s="335"/>
      <c r="AD221" s="354"/>
      <c r="AE221" s="332"/>
      <c r="AF221" s="333"/>
      <c r="AG221" s="335"/>
      <c r="AH221" s="354"/>
      <c r="AI221" s="332"/>
      <c r="AJ221" s="333"/>
      <c r="AK221" s="335"/>
      <c r="AL221" s="354"/>
      <c r="AM221" s="332"/>
      <c r="AN221" s="333"/>
      <c r="AO221" s="335"/>
      <c r="AP221" s="354"/>
      <c r="AQ221" s="332"/>
      <c r="AR221" s="333"/>
      <c r="AS221" s="335"/>
      <c r="AT221" s="354"/>
      <c r="AU221" s="332"/>
      <c r="AV221" s="333"/>
      <c r="AW221" s="335"/>
      <c r="AX221" s="354"/>
      <c r="AY221" s="332"/>
      <c r="AZ221" s="333"/>
      <c r="BA221" s="335"/>
      <c r="BB221" s="354"/>
      <c r="BC221" s="332"/>
      <c r="BD221" s="333"/>
      <c r="BE221" s="335"/>
      <c r="BF221" s="362"/>
    </row>
    <row r="222" spans="2:58" ht="14" customHeight="1" x14ac:dyDescent="0.3">
      <c r="B222" s="735"/>
      <c r="C222" s="545"/>
      <c r="D222" s="281" t="s">
        <v>174</v>
      </c>
      <c r="E222" s="282" t="s">
        <v>287</v>
      </c>
      <c r="F222" s="283" t="s">
        <v>290</v>
      </c>
      <c r="G222" s="282" t="str">
        <f t="shared" ref="G222:H227" si="230">G215</f>
        <v>J</v>
      </c>
      <c r="H222" s="283" t="str">
        <f t="shared" si="230"/>
        <v>F</v>
      </c>
      <c r="I222" s="364"/>
      <c r="J222" s="803"/>
      <c r="K222" s="343"/>
      <c r="L222" s="344"/>
      <c r="M222" s="335"/>
      <c r="N222" s="354"/>
      <c r="O222" s="334"/>
      <c r="P222" s="335"/>
      <c r="Q222" s="335"/>
      <c r="R222" s="354"/>
      <c r="S222" s="334"/>
      <c r="T222" s="335"/>
      <c r="U222" s="335"/>
      <c r="V222" s="354"/>
      <c r="W222" s="334"/>
      <c r="X222" s="335"/>
      <c r="Y222" s="335"/>
      <c r="Z222" s="354"/>
      <c r="AA222" s="334"/>
      <c r="AB222" s="335"/>
      <c r="AC222" s="335"/>
      <c r="AD222" s="354"/>
      <c r="AE222" s="334"/>
      <c r="AF222" s="335"/>
      <c r="AG222" s="335"/>
      <c r="AH222" s="354"/>
      <c r="AI222" s="334"/>
      <c r="AJ222" s="335"/>
      <c r="AK222" s="335"/>
      <c r="AL222" s="354"/>
      <c r="AM222" s="334"/>
      <c r="AN222" s="335"/>
      <c r="AO222" s="335"/>
      <c r="AP222" s="354"/>
      <c r="AQ222" s="334"/>
      <c r="AR222" s="335"/>
      <c r="AS222" s="335"/>
      <c r="AT222" s="354"/>
      <c r="AU222" s="334"/>
      <c r="AV222" s="335"/>
      <c r="AW222" s="335"/>
      <c r="AX222" s="354"/>
      <c r="AY222" s="334"/>
      <c r="AZ222" s="335"/>
      <c r="BA222" s="335"/>
      <c r="BB222" s="354"/>
      <c r="BC222" s="334"/>
      <c r="BD222" s="335"/>
      <c r="BE222" s="335"/>
      <c r="BF222" s="362"/>
    </row>
    <row r="223" spans="2:58" ht="14" customHeight="1" x14ac:dyDescent="0.3">
      <c r="B223" s="735"/>
      <c r="C223" s="545"/>
      <c r="D223" s="284" t="s">
        <v>175</v>
      </c>
      <c r="E223" s="282" t="s">
        <v>293</v>
      </c>
      <c r="F223" s="283" t="s">
        <v>294</v>
      </c>
      <c r="G223" s="282" t="str">
        <f t="shared" si="230"/>
        <v>A</v>
      </c>
      <c r="H223" s="283" t="str">
        <f t="shared" si="230"/>
        <v>F</v>
      </c>
      <c r="I223" s="89">
        <f>IF(ISNUMBER(I216),2*I216*14,"")</f>
        <v>140</v>
      </c>
      <c r="J223" s="89">
        <f>IF(ISNUMBER(J216),2*J216*14,"")</f>
        <v>56</v>
      </c>
      <c r="K223" s="343"/>
      <c r="L223" s="344"/>
      <c r="M223" s="335"/>
      <c r="N223" s="351">
        <f>IF(ISNUMBER(N216),2*N216*14,"")</f>
        <v>140</v>
      </c>
      <c r="O223" s="334"/>
      <c r="P223" s="335"/>
      <c r="Q223" s="335"/>
      <c r="R223" s="351" t="str">
        <f>IF(ISNUMBER(R216),2*R216*14,"")</f>
        <v/>
      </c>
      <c r="S223" s="334"/>
      <c r="T223" s="335"/>
      <c r="U223" s="335"/>
      <c r="V223" s="351" t="str">
        <f>IF(ISNUMBER(V216),2*V216*14,"")</f>
        <v/>
      </c>
      <c r="W223" s="334"/>
      <c r="X223" s="335"/>
      <c r="Y223" s="335"/>
      <c r="Z223" s="351" t="str">
        <f>IF(ISNUMBER(Z216),2*Z216*14,"")</f>
        <v/>
      </c>
      <c r="AA223" s="334"/>
      <c r="AB223" s="335"/>
      <c r="AC223" s="335"/>
      <c r="AD223" s="351" t="str">
        <f>IF(ISNUMBER(AD216),2*AD216*14,"")</f>
        <v/>
      </c>
      <c r="AE223" s="334"/>
      <c r="AF223" s="335"/>
      <c r="AG223" s="335"/>
      <c r="AH223" s="351">
        <f>IF(ISNUMBER(AH216),2*AH216*14,"")</f>
        <v>56</v>
      </c>
      <c r="AI223" s="334"/>
      <c r="AJ223" s="335"/>
      <c r="AK223" s="335"/>
      <c r="AL223" s="351" t="str">
        <f>IF(ISNUMBER(AL216),2*AL216*14,"")</f>
        <v/>
      </c>
      <c r="AM223" s="334"/>
      <c r="AN223" s="335"/>
      <c r="AO223" s="335"/>
      <c r="AP223" s="351" t="str">
        <f>IF(ISNUMBER(AP216),AP216*21/MAX($I220:$J220)*20,"")</f>
        <v/>
      </c>
      <c r="AQ223" s="334"/>
      <c r="AR223" s="335"/>
      <c r="AS223" s="335"/>
      <c r="AT223" s="351" t="str">
        <f>IF(ISNUMBER(AT216),2*AT216*14,"")</f>
        <v/>
      </c>
      <c r="AU223" s="334"/>
      <c r="AV223" s="335"/>
      <c r="AW223" s="335"/>
      <c r="AX223" s="351" t="str">
        <f>IF(ISNUMBER(AX216),2*AX216*14,"")</f>
        <v/>
      </c>
      <c r="AY223" s="334"/>
      <c r="AZ223" s="335"/>
      <c r="BA223" s="335"/>
      <c r="BB223" s="351" t="str">
        <f>IF(ISNUMBER(BB216),2*BB216*14,"")</f>
        <v/>
      </c>
      <c r="BC223" s="334"/>
      <c r="BD223" s="335"/>
      <c r="BE223" s="335"/>
      <c r="BF223" s="360" t="str">
        <f>IF(ISNUMBER(BF216),2*BF216*14,"")</f>
        <v/>
      </c>
    </row>
    <row r="224" spans="2:58" ht="14" customHeight="1" x14ac:dyDescent="0.3">
      <c r="B224" s="735"/>
      <c r="C224" s="545"/>
      <c r="D224" s="284" t="s">
        <v>91</v>
      </c>
      <c r="E224" s="282" t="s">
        <v>285</v>
      </c>
      <c r="F224" s="283" t="s">
        <v>295</v>
      </c>
      <c r="G224" s="282" t="str">
        <f t="shared" si="230"/>
        <v>H</v>
      </c>
      <c r="H224" s="283" t="str">
        <f t="shared" si="230"/>
        <v>C</v>
      </c>
      <c r="I224" s="364"/>
      <c r="J224" s="803"/>
      <c r="K224" s="343"/>
      <c r="L224" s="344"/>
      <c r="M224" s="336"/>
      <c r="N224" s="354"/>
      <c r="O224" s="334"/>
      <c r="P224" s="335"/>
      <c r="Q224" s="336"/>
      <c r="R224" s="354"/>
      <c r="S224" s="334"/>
      <c r="T224" s="335"/>
      <c r="U224" s="336"/>
      <c r="V224" s="354"/>
      <c r="W224" s="334"/>
      <c r="X224" s="335"/>
      <c r="Y224" s="336"/>
      <c r="Z224" s="354"/>
      <c r="AA224" s="334"/>
      <c r="AB224" s="335"/>
      <c r="AC224" s="336"/>
      <c r="AD224" s="354"/>
      <c r="AE224" s="334"/>
      <c r="AF224" s="335"/>
      <c r="AG224" s="336"/>
      <c r="AH224" s="354"/>
      <c r="AI224" s="334"/>
      <c r="AJ224" s="335"/>
      <c r="AK224" s="336"/>
      <c r="AL224" s="354"/>
      <c r="AM224" s="334"/>
      <c r="AN224" s="335"/>
      <c r="AO224" s="336"/>
      <c r="AP224" s="354"/>
      <c r="AQ224" s="334"/>
      <c r="AR224" s="335"/>
      <c r="AS224" s="336"/>
      <c r="AT224" s="354"/>
      <c r="AU224" s="334"/>
      <c r="AV224" s="335"/>
      <c r="AW224" s="336"/>
      <c r="AX224" s="354"/>
      <c r="AY224" s="334"/>
      <c r="AZ224" s="335"/>
      <c r="BA224" s="336"/>
      <c r="BB224" s="354"/>
      <c r="BC224" s="334"/>
      <c r="BD224" s="335"/>
      <c r="BE224" s="336"/>
      <c r="BF224" s="362"/>
    </row>
    <row r="225" spans="2:58" ht="14" customHeight="1" x14ac:dyDescent="0.3">
      <c r="B225" s="735"/>
      <c r="C225" s="545"/>
      <c r="D225" s="284" t="s">
        <v>94</v>
      </c>
      <c r="E225" s="282" t="s">
        <v>286</v>
      </c>
      <c r="F225" s="283" t="s">
        <v>296</v>
      </c>
      <c r="G225" s="282" t="str">
        <f t="shared" si="230"/>
        <v>K</v>
      </c>
      <c r="H225" s="283" t="str">
        <f t="shared" si="230"/>
        <v>J</v>
      </c>
      <c r="I225" s="364"/>
      <c r="J225" s="365"/>
      <c r="K225" s="345"/>
      <c r="L225" s="346"/>
      <c r="M225" s="335"/>
      <c r="N225" s="355"/>
      <c r="O225" s="337"/>
      <c r="P225" s="336"/>
      <c r="Q225" s="335"/>
      <c r="R225" s="355"/>
      <c r="S225" s="337"/>
      <c r="T225" s="336"/>
      <c r="U225" s="335"/>
      <c r="V225" s="355"/>
      <c r="W225" s="337"/>
      <c r="X225" s="336"/>
      <c r="Y225" s="335"/>
      <c r="Z225" s="355"/>
      <c r="AA225" s="337"/>
      <c r="AB225" s="336"/>
      <c r="AC225" s="335"/>
      <c r="AD225" s="355"/>
      <c r="AE225" s="337"/>
      <c r="AF225" s="336"/>
      <c r="AG225" s="335"/>
      <c r="AH225" s="355"/>
      <c r="AI225" s="337"/>
      <c r="AJ225" s="336"/>
      <c r="AK225" s="335"/>
      <c r="AL225" s="355"/>
      <c r="AM225" s="337"/>
      <c r="AN225" s="336"/>
      <c r="AO225" s="335"/>
      <c r="AP225" s="355"/>
      <c r="AQ225" s="337"/>
      <c r="AR225" s="336"/>
      <c r="AS225" s="335"/>
      <c r="AT225" s="355"/>
      <c r="AU225" s="337"/>
      <c r="AV225" s="336"/>
      <c r="AW225" s="335"/>
      <c r="AX225" s="355"/>
      <c r="AY225" s="337"/>
      <c r="AZ225" s="336"/>
      <c r="BA225" s="335"/>
      <c r="BB225" s="355"/>
      <c r="BC225" s="337"/>
      <c r="BD225" s="336"/>
      <c r="BE225" s="335"/>
      <c r="BF225" s="363"/>
    </row>
    <row r="226" spans="2:58" ht="14" customHeight="1" x14ac:dyDescent="0.3">
      <c r="B226" s="735"/>
      <c r="C226" s="545"/>
      <c r="D226" s="284" t="s">
        <v>162</v>
      </c>
      <c r="E226" s="282" t="s">
        <v>297</v>
      </c>
      <c r="F226" s="283" t="s">
        <v>298</v>
      </c>
      <c r="G226" s="282" t="str">
        <f t="shared" si="230"/>
        <v>H</v>
      </c>
      <c r="H226" s="283" t="str">
        <f t="shared" si="230"/>
        <v>K</v>
      </c>
      <c r="I226" s="89">
        <f t="shared" ref="I226:J226" si="231">IF(ISNUMBER(I219),(15+15*I219/7)*14,"")</f>
        <v>420</v>
      </c>
      <c r="J226" s="85">
        <f t="shared" si="231"/>
        <v>360</v>
      </c>
      <c r="K226" s="345"/>
      <c r="L226" s="346"/>
      <c r="M226" s="336"/>
      <c r="N226" s="360" t="str">
        <f>IF(ISNUMBER(N219),(15+15*N219/7)*14,"")</f>
        <v/>
      </c>
      <c r="O226" s="337"/>
      <c r="P226" s="336"/>
      <c r="Q226" s="336"/>
      <c r="R226" s="360" t="str">
        <f>IF(ISNUMBER(R219),(15+15*R219/7)*14,"")</f>
        <v/>
      </c>
      <c r="S226" s="337"/>
      <c r="T226" s="336"/>
      <c r="U226" s="336"/>
      <c r="V226" s="360" t="str">
        <f>IF(ISNUMBER(V219),(15+15*V219/7)*14,"")</f>
        <v/>
      </c>
      <c r="W226" s="337"/>
      <c r="X226" s="336"/>
      <c r="Y226" s="336"/>
      <c r="Z226" s="360" t="str">
        <f>IF(ISNUMBER(Z219),(15+15*Z219/7)*14,"")</f>
        <v/>
      </c>
      <c r="AA226" s="337"/>
      <c r="AB226" s="336"/>
      <c r="AC226" s="336"/>
      <c r="AD226" s="360" t="str">
        <f>IF(ISNUMBER(AD219),(15+15*AD219/7)*14,"")</f>
        <v/>
      </c>
      <c r="AE226" s="337"/>
      <c r="AF226" s="336"/>
      <c r="AG226" s="336"/>
      <c r="AH226" s="360" t="str">
        <f>IF(ISNUMBER(AH219),(15+15*AH219/7)*14,"")</f>
        <v/>
      </c>
      <c r="AI226" s="337"/>
      <c r="AJ226" s="336"/>
      <c r="AK226" s="336"/>
      <c r="AL226" s="360" t="str">
        <f>IF(ISNUMBER(AL219),(15+15*AL219/7)*14,"")</f>
        <v/>
      </c>
      <c r="AM226" s="337"/>
      <c r="AN226" s="336"/>
      <c r="AO226" s="336"/>
      <c r="AP226" s="360">
        <f>IF(ISNUMBER(AP219),(15+15*AP219/7)*14,"")</f>
        <v>420</v>
      </c>
      <c r="AQ226" s="337"/>
      <c r="AR226" s="336"/>
      <c r="AS226" s="336"/>
      <c r="AT226" s="360" t="str">
        <f>IF(ISNUMBER(AT219),(15+15*AT219/7)*14,"")</f>
        <v/>
      </c>
      <c r="AU226" s="337"/>
      <c r="AV226" s="336"/>
      <c r="AW226" s="336"/>
      <c r="AX226" s="360" t="str">
        <f>IF(ISNUMBER(AX219),(15+15*AX219/7)*14,"")</f>
        <v/>
      </c>
      <c r="AY226" s="337"/>
      <c r="AZ226" s="336"/>
      <c r="BA226" s="336"/>
      <c r="BB226" s="360">
        <f>IF(ISNUMBER(BB219),(15+15*BB219/7)*14,"")</f>
        <v>360</v>
      </c>
      <c r="BC226" s="337"/>
      <c r="BD226" s="336"/>
      <c r="BE226" s="336"/>
      <c r="BF226" s="360" t="str">
        <f>IF(ISNUMBER(BF219),(15+15*BF219/7)*14,"")</f>
        <v/>
      </c>
    </row>
    <row r="227" spans="2:58" ht="14" customHeight="1" thickBot="1" x14ac:dyDescent="0.35">
      <c r="B227" s="735"/>
      <c r="C227" s="547"/>
      <c r="D227" s="285" t="s">
        <v>163</v>
      </c>
      <c r="E227" s="286" t="s">
        <v>299</v>
      </c>
      <c r="F227" s="287" t="s">
        <v>300</v>
      </c>
      <c r="G227" s="286" t="str">
        <f t="shared" si="230"/>
        <v>C</v>
      </c>
      <c r="H227" s="287" t="str">
        <f t="shared" si="230"/>
        <v>J</v>
      </c>
      <c r="I227" s="111">
        <f>IF(ISNUMBER(I220),(40+2*I220)*14,"")</f>
        <v>840</v>
      </c>
      <c r="J227" s="112">
        <f>IF(ISNUMBER(J220),(40+2*J220)*14,"")</f>
        <v>644</v>
      </c>
      <c r="K227" s="347"/>
      <c r="L227" s="348"/>
      <c r="M227" s="349"/>
      <c r="N227" s="802" t="str">
        <f>IF(ISNUMBER(N220),(40+2*N220)*14,"")</f>
        <v/>
      </c>
      <c r="O227" s="357"/>
      <c r="P227" s="349"/>
      <c r="Q227" s="349"/>
      <c r="R227" s="356" t="str">
        <f>IF(ISNUMBER(R220),(40+2*R220)*14,"")</f>
        <v/>
      </c>
      <c r="S227" s="357"/>
      <c r="T227" s="349"/>
      <c r="U227" s="349"/>
      <c r="V227" s="356">
        <f>IF(ISNUMBER(V220),(40+2*V220)*14,"")</f>
        <v>840</v>
      </c>
      <c r="W227" s="357"/>
      <c r="X227" s="349"/>
      <c r="Y227" s="349"/>
      <c r="Z227" s="356" t="str">
        <f>IF(ISNUMBER(Z220),(40+2*Z220)*14,"")</f>
        <v/>
      </c>
      <c r="AA227" s="357"/>
      <c r="AB227" s="349"/>
      <c r="AC227" s="349"/>
      <c r="AD227" s="356" t="str">
        <f>IF(ISNUMBER(AD220),(40+2*AD220)*14,"")</f>
        <v/>
      </c>
      <c r="AE227" s="357"/>
      <c r="AF227" s="349"/>
      <c r="AG227" s="349"/>
      <c r="AH227" s="356" t="str">
        <f>IF(ISNUMBER(AH220),(40+2*AH220)*14,"")</f>
        <v/>
      </c>
      <c r="AI227" s="357"/>
      <c r="AJ227" s="349"/>
      <c r="AK227" s="349"/>
      <c r="AL227" s="356" t="str">
        <f>IF(ISNUMBER(AL220),(40+2*AL220)*14,"")</f>
        <v/>
      </c>
      <c r="AM227" s="357"/>
      <c r="AN227" s="349"/>
      <c r="AO227" s="349"/>
      <c r="AP227" s="356" t="str">
        <f>IF(ISNUMBER(AP220),(40+2*AP220)*14,"")</f>
        <v/>
      </c>
      <c r="AQ227" s="357"/>
      <c r="AR227" s="349"/>
      <c r="AS227" s="349"/>
      <c r="AT227" s="356" t="str">
        <f>IF(ISNUMBER(AT220),(40+2*AT220)*14,"")</f>
        <v/>
      </c>
      <c r="AU227" s="357"/>
      <c r="AV227" s="349"/>
      <c r="AW227" s="349"/>
      <c r="AX227" s="356">
        <f>IF(ISNUMBER(AX220),(40+2*AX220)*14,"")</f>
        <v>644</v>
      </c>
      <c r="AY227" s="357"/>
      <c r="AZ227" s="349"/>
      <c r="BA227" s="349"/>
      <c r="BB227" s="356" t="str">
        <f>IF(ISNUMBER(BB220),(40+2*BB220)*14,"")</f>
        <v/>
      </c>
      <c r="BC227" s="357"/>
      <c r="BD227" s="349"/>
      <c r="BE227" s="349"/>
      <c r="BF227" s="452" t="str">
        <f>IF(ISNUMBER(BF220),(40+2*BF220)*14,"")</f>
        <v/>
      </c>
    </row>
    <row r="228" spans="2:58" x14ac:dyDescent="0.3">
      <c r="B228" s="735"/>
      <c r="D228" s="25"/>
      <c r="E228" s="26"/>
      <c r="F228" s="26"/>
      <c r="G228" s="26"/>
      <c r="H228" s="26"/>
      <c r="I228" s="26"/>
      <c r="J228" s="26"/>
      <c r="L228" s="1"/>
      <c r="M228" s="1"/>
      <c r="N228" s="1"/>
    </row>
    <row r="229" spans="2:58" ht="14.5" thickBot="1" x14ac:dyDescent="0.35">
      <c r="B229" s="735"/>
      <c r="D229" s="25"/>
      <c r="E229" s="26"/>
      <c r="F229" s="26"/>
      <c r="G229" s="26"/>
      <c r="H229" s="26"/>
      <c r="I229" s="26"/>
      <c r="J229" s="26"/>
      <c r="L229" s="1"/>
      <c r="M229" s="1"/>
      <c r="N229" s="1"/>
    </row>
    <row r="230" spans="2:58" x14ac:dyDescent="0.3">
      <c r="B230" s="735"/>
      <c r="C230" s="710" t="s">
        <v>148</v>
      </c>
      <c r="D230" s="711"/>
      <c r="E230" s="675" t="s">
        <v>164</v>
      </c>
      <c r="F230" s="676"/>
      <c r="G230" s="676"/>
      <c r="H230" s="676"/>
      <c r="I230" s="676"/>
      <c r="J230" s="676"/>
      <c r="K230" s="302">
        <f>SUM(K181:K185)</f>
        <v>0</v>
      </c>
      <c r="L230" s="303"/>
      <c r="M230" s="303"/>
      <c r="N230" s="304"/>
      <c r="O230" s="302">
        <f>SUM(O181:O185)</f>
        <v>714</v>
      </c>
      <c r="P230" s="303"/>
      <c r="Q230" s="303"/>
      <c r="R230" s="304"/>
      <c r="S230" s="302">
        <f>SUM(S181:S185)</f>
        <v>378</v>
      </c>
      <c r="T230" s="303"/>
      <c r="U230" s="303"/>
      <c r="V230" s="304"/>
      <c r="W230" s="302">
        <f>SUM(W181:W185)</f>
        <v>672</v>
      </c>
      <c r="X230" s="303"/>
      <c r="Y230" s="303"/>
      <c r="Z230" s="304"/>
      <c r="AA230" s="302">
        <f>SUM(AA181:AA185)</f>
        <v>0</v>
      </c>
      <c r="AB230" s="303"/>
      <c r="AC230" s="303"/>
      <c r="AD230" s="304"/>
      <c r="AE230" s="302">
        <f>SUM(AE181:AE185)</f>
        <v>462</v>
      </c>
      <c r="AF230" s="303"/>
      <c r="AG230" s="303"/>
      <c r="AH230" s="304"/>
      <c r="AI230" s="302">
        <f>SUM(AI181:AI185)</f>
        <v>630</v>
      </c>
      <c r="AJ230" s="303"/>
      <c r="AK230" s="303"/>
      <c r="AL230" s="304"/>
      <c r="AM230" s="302">
        <f>SUM(AM181:AM185)</f>
        <v>0</v>
      </c>
      <c r="AN230" s="303"/>
      <c r="AO230" s="303"/>
      <c r="AP230" s="304"/>
      <c r="AQ230" s="302">
        <f>SUM(AQ181:AQ185)</f>
        <v>0</v>
      </c>
      <c r="AR230" s="303"/>
      <c r="AS230" s="303"/>
      <c r="AT230" s="304"/>
      <c r="AU230" s="302">
        <f>SUM(AU181:AU185)</f>
        <v>0</v>
      </c>
      <c r="AV230" s="303"/>
      <c r="AW230" s="303"/>
      <c r="AX230" s="304"/>
      <c r="AY230" s="302">
        <f>SUM(AY181:AY185)</f>
        <v>0</v>
      </c>
      <c r="AZ230" s="303"/>
      <c r="BA230" s="303"/>
      <c r="BB230" s="304"/>
      <c r="BC230" s="302">
        <f>SUM(BC181:BC185)</f>
        <v>0</v>
      </c>
      <c r="BD230" s="303"/>
      <c r="BE230" s="303"/>
      <c r="BF230" s="304"/>
    </row>
    <row r="231" spans="2:58" x14ac:dyDescent="0.3">
      <c r="B231" s="735"/>
      <c r="C231" s="712"/>
      <c r="D231" s="713"/>
      <c r="E231" s="677" t="s">
        <v>161</v>
      </c>
      <c r="F231" s="678"/>
      <c r="G231" s="678"/>
      <c r="H231" s="678"/>
      <c r="I231" s="678"/>
      <c r="J231" s="678"/>
      <c r="K231" s="305"/>
      <c r="L231" s="299">
        <f>SUM(L193:L199)</f>
        <v>127.49999999999999</v>
      </c>
      <c r="M231" s="300"/>
      <c r="N231" s="306"/>
      <c r="O231" s="305"/>
      <c r="P231" s="299">
        <f>SUM(P193:P199)</f>
        <v>0</v>
      </c>
      <c r="Q231" s="300"/>
      <c r="R231" s="306"/>
      <c r="S231" s="305"/>
      <c r="T231" s="299">
        <f>SUM(T193:T199)</f>
        <v>360.58536585365852</v>
      </c>
      <c r="U231" s="300"/>
      <c r="V231" s="306"/>
      <c r="W231" s="305"/>
      <c r="X231" s="299">
        <f>SUM(X193:X199)</f>
        <v>705.38461538461536</v>
      </c>
      <c r="Y231" s="300"/>
      <c r="Z231" s="306"/>
      <c r="AA231" s="305"/>
      <c r="AB231" s="299">
        <f>SUM(AB193:AB199)</f>
        <v>840</v>
      </c>
      <c r="AC231" s="300"/>
      <c r="AD231" s="306"/>
      <c r="AE231" s="305"/>
      <c r="AF231" s="299">
        <f>SUM(AF193:AF199)</f>
        <v>420</v>
      </c>
      <c r="AG231" s="300"/>
      <c r="AH231" s="306"/>
      <c r="AI231" s="305"/>
      <c r="AJ231" s="299">
        <f>SUM(AJ193:AJ199)</f>
        <v>140</v>
      </c>
      <c r="AK231" s="300"/>
      <c r="AL231" s="306"/>
      <c r="AM231" s="305"/>
      <c r="AN231" s="299">
        <f>SUM(AN193:AN199)</f>
        <v>0</v>
      </c>
      <c r="AO231" s="300"/>
      <c r="AP231" s="306"/>
      <c r="AQ231" s="305"/>
      <c r="AR231" s="299">
        <f>SUM(AR193:AR199)</f>
        <v>0</v>
      </c>
      <c r="AS231" s="300"/>
      <c r="AT231" s="306"/>
      <c r="AU231" s="305"/>
      <c r="AV231" s="299">
        <f>SUM(AV193:AV199)</f>
        <v>0</v>
      </c>
      <c r="AW231" s="300"/>
      <c r="AX231" s="306"/>
      <c r="AY231" s="305"/>
      <c r="AZ231" s="299">
        <f>SUM(AZ193:AZ199)</f>
        <v>0</v>
      </c>
      <c r="BA231" s="300"/>
      <c r="BB231" s="306"/>
      <c r="BC231" s="305"/>
      <c r="BD231" s="299">
        <f>SUM(BD193:BD199)</f>
        <v>0</v>
      </c>
      <c r="BE231" s="300"/>
      <c r="BF231" s="306"/>
    </row>
    <row r="232" spans="2:58" x14ac:dyDescent="0.3">
      <c r="B232" s="735"/>
      <c r="C232" s="712"/>
      <c r="D232" s="713"/>
      <c r="E232" s="679" t="s">
        <v>165</v>
      </c>
      <c r="F232" s="680"/>
      <c r="G232" s="680"/>
      <c r="H232" s="680"/>
      <c r="I232" s="680"/>
      <c r="J232" s="680"/>
      <c r="K232" s="305"/>
      <c r="L232" s="300"/>
      <c r="M232" s="301">
        <f>SUM(M207:M213)</f>
        <v>0</v>
      </c>
      <c r="N232" s="306"/>
      <c r="O232" s="305"/>
      <c r="P232" s="300"/>
      <c r="Q232" s="301">
        <f>IF(ISNUMBER(SUM(Q207:Q213)),SUM(Q207:Q213),"")</f>
        <v>840</v>
      </c>
      <c r="R232" s="306"/>
      <c r="S232" s="305"/>
      <c r="T232" s="300"/>
      <c r="U232" s="301">
        <f>SUM(U207:U213)</f>
        <v>770</v>
      </c>
      <c r="V232" s="306"/>
      <c r="W232" s="305"/>
      <c r="X232" s="300"/>
      <c r="Y232" s="301">
        <f>SUM(Y207:Y213)</f>
        <v>280</v>
      </c>
      <c r="Z232" s="306"/>
      <c r="AA232" s="305"/>
      <c r="AB232" s="300"/>
      <c r="AC232" s="301">
        <f>SUM(AC207:AC213)</f>
        <v>0</v>
      </c>
      <c r="AD232" s="306"/>
      <c r="AE232" s="305"/>
      <c r="AF232" s="300"/>
      <c r="AG232" s="301">
        <f>SUM(AG207:AG213)</f>
        <v>350</v>
      </c>
      <c r="AH232" s="306"/>
      <c r="AI232" s="305"/>
      <c r="AJ232" s="300"/>
      <c r="AK232" s="301">
        <f>SUM(AK207:AK213)</f>
        <v>0</v>
      </c>
      <c r="AL232" s="306"/>
      <c r="AM232" s="305"/>
      <c r="AN232" s="300"/>
      <c r="AO232" s="301">
        <f>SUM(AO207:AO213)</f>
        <v>140</v>
      </c>
      <c r="AP232" s="306"/>
      <c r="AQ232" s="305"/>
      <c r="AR232" s="300"/>
      <c r="AS232" s="301">
        <f>SUM(AS207:AS213)</f>
        <v>56</v>
      </c>
      <c r="AT232" s="306"/>
      <c r="AU232" s="305"/>
      <c r="AV232" s="300"/>
      <c r="AW232" s="301">
        <f>SUM(AW207:AW213)</f>
        <v>0</v>
      </c>
      <c r="AX232" s="306"/>
      <c r="AY232" s="305"/>
      <c r="AZ232" s="300"/>
      <c r="BA232" s="301">
        <f>SUM(BA207:BA213)</f>
        <v>0</v>
      </c>
      <c r="BB232" s="306"/>
      <c r="BC232" s="305"/>
      <c r="BD232" s="300"/>
      <c r="BE232" s="301">
        <f>SUM(BE207:BE213)</f>
        <v>0</v>
      </c>
      <c r="BF232" s="306"/>
    </row>
    <row r="233" spans="2:58" ht="14.5" thickBot="1" x14ac:dyDescent="0.35">
      <c r="B233" s="735"/>
      <c r="C233" s="712"/>
      <c r="D233" s="713"/>
      <c r="E233" s="551" t="s">
        <v>322</v>
      </c>
      <c r="F233" s="552"/>
      <c r="G233" s="552"/>
      <c r="H233" s="552"/>
      <c r="I233" s="552"/>
      <c r="J233" s="552"/>
      <c r="K233" s="307"/>
      <c r="L233" s="308"/>
      <c r="M233" s="308"/>
      <c r="N233" s="370">
        <f>SUM(N221:N227)</f>
        <v>140</v>
      </c>
      <c r="O233" s="307"/>
      <c r="P233" s="308"/>
      <c r="Q233" s="308"/>
      <c r="R233" s="370">
        <f>SUM(R221:R227)</f>
        <v>0</v>
      </c>
      <c r="S233" s="307"/>
      <c r="T233" s="308"/>
      <c r="U233" s="308"/>
      <c r="V233" s="370">
        <f>SUM(V221:V227)</f>
        <v>840</v>
      </c>
      <c r="W233" s="307"/>
      <c r="X233" s="308"/>
      <c r="Y233" s="308"/>
      <c r="Z233" s="370">
        <f>SUM(Z221:Z227)</f>
        <v>0</v>
      </c>
      <c r="AA233" s="307"/>
      <c r="AB233" s="308"/>
      <c r="AC233" s="308"/>
      <c r="AD233" s="370">
        <f>SUM(AD221:AD227)</f>
        <v>0</v>
      </c>
      <c r="AE233" s="307"/>
      <c r="AF233" s="308"/>
      <c r="AG233" s="308"/>
      <c r="AH233" s="370">
        <f>SUM(AH221:AH227)</f>
        <v>56</v>
      </c>
      <c r="AI233" s="307"/>
      <c r="AJ233" s="308"/>
      <c r="AK233" s="308"/>
      <c r="AL233" s="370">
        <f>SUM(AL221:AL227)</f>
        <v>0</v>
      </c>
      <c r="AM233" s="307"/>
      <c r="AN233" s="308"/>
      <c r="AO233" s="308"/>
      <c r="AP233" s="370">
        <f>SUM(AP221:AP227)</f>
        <v>420</v>
      </c>
      <c r="AQ233" s="307"/>
      <c r="AR233" s="308"/>
      <c r="AS233" s="308"/>
      <c r="AT233" s="370">
        <f>SUM(AT221:AT227)</f>
        <v>0</v>
      </c>
      <c r="AU233" s="307"/>
      <c r="AV233" s="308"/>
      <c r="AW233" s="308"/>
      <c r="AX233" s="370">
        <f>SUM(AX221:AX227)</f>
        <v>644</v>
      </c>
      <c r="AY233" s="307"/>
      <c r="AZ233" s="308"/>
      <c r="BA233" s="308"/>
      <c r="BB233" s="370">
        <f>SUM(BB221:BB227)</f>
        <v>360</v>
      </c>
      <c r="BC233" s="307"/>
      <c r="BD233" s="308"/>
      <c r="BE233" s="308"/>
      <c r="BF233" s="370">
        <f>SUM(BF221:BF227)</f>
        <v>0</v>
      </c>
    </row>
    <row r="234" spans="2:58" ht="14.5" thickBot="1" x14ac:dyDescent="0.35">
      <c r="B234" s="735"/>
      <c r="C234" s="714"/>
      <c r="D234" s="715"/>
      <c r="E234" s="681" t="s">
        <v>27</v>
      </c>
      <c r="F234" s="682"/>
      <c r="G234" s="682"/>
      <c r="H234" s="682"/>
      <c r="I234" s="682"/>
      <c r="J234" s="683"/>
      <c r="K234" s="502">
        <f>SUM(K230,L231,M232,N233)</f>
        <v>267.5</v>
      </c>
      <c r="L234" s="503"/>
      <c r="M234" s="503"/>
      <c r="N234" s="504"/>
      <c r="O234" s="502">
        <f t="shared" ref="O234" si="232">SUM(O230,P231,Q232,R233)</f>
        <v>1554</v>
      </c>
      <c r="P234" s="503"/>
      <c r="Q234" s="503"/>
      <c r="R234" s="504"/>
      <c r="S234" s="502">
        <f t="shared" ref="S234" si="233">SUM(S230,T231,U232,V233)</f>
        <v>2348.5853658536585</v>
      </c>
      <c r="T234" s="503"/>
      <c r="U234" s="503"/>
      <c r="V234" s="504"/>
      <c r="W234" s="502">
        <f t="shared" ref="W234" si="234">SUM(W230,X231,Y232,Z233)</f>
        <v>1657.3846153846152</v>
      </c>
      <c r="X234" s="503"/>
      <c r="Y234" s="503"/>
      <c r="Z234" s="504"/>
      <c r="AA234" s="502">
        <f t="shared" ref="AA234" si="235">SUM(AA230,AB231,AC232,AD233)</f>
        <v>840</v>
      </c>
      <c r="AB234" s="503"/>
      <c r="AC234" s="503"/>
      <c r="AD234" s="504"/>
      <c r="AE234" s="502">
        <f t="shared" ref="AE234" si="236">SUM(AE230,AF231,AG232,AH233)</f>
        <v>1288</v>
      </c>
      <c r="AF234" s="503"/>
      <c r="AG234" s="503"/>
      <c r="AH234" s="504"/>
      <c r="AI234" s="502">
        <f t="shared" ref="AI234" si="237">SUM(AI230,AJ231,AK232,AL233)</f>
        <v>770</v>
      </c>
      <c r="AJ234" s="503"/>
      <c r="AK234" s="503"/>
      <c r="AL234" s="504"/>
      <c r="AM234" s="502">
        <f t="shared" ref="AM234" si="238">SUM(AM230,AN231,AO232,AP233)</f>
        <v>560</v>
      </c>
      <c r="AN234" s="503"/>
      <c r="AO234" s="503"/>
      <c r="AP234" s="504"/>
      <c r="AQ234" s="502">
        <f t="shared" ref="AQ234" si="239">SUM(AQ230,AR231,AS232,AT233)</f>
        <v>56</v>
      </c>
      <c r="AR234" s="503"/>
      <c r="AS234" s="503"/>
      <c r="AT234" s="504"/>
      <c r="AU234" s="502">
        <f t="shared" ref="AU234" si="240">SUM(AU230,AV231,AW232,AX233)</f>
        <v>644</v>
      </c>
      <c r="AV234" s="503"/>
      <c r="AW234" s="503"/>
      <c r="AX234" s="504"/>
      <c r="AY234" s="502">
        <f t="shared" ref="AY234" si="241">SUM(AY230,AZ231,BA232,BB233)</f>
        <v>360</v>
      </c>
      <c r="AZ234" s="503"/>
      <c r="BA234" s="503"/>
      <c r="BB234" s="504"/>
      <c r="BC234" s="502">
        <f t="shared" ref="BC234" si="242">SUM(BC230,BD231,BE232,BF233)</f>
        <v>0</v>
      </c>
      <c r="BD234" s="503"/>
      <c r="BE234" s="503"/>
      <c r="BF234" s="504"/>
    </row>
    <row r="235" spans="2:58" x14ac:dyDescent="0.3">
      <c r="B235" s="735"/>
      <c r="C235" s="5"/>
      <c r="D235" s="5"/>
      <c r="E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2:58" ht="14.5" customHeight="1" thickBot="1" x14ac:dyDescent="0.35">
      <c r="B236" s="735"/>
      <c r="C236" s="5"/>
      <c r="D236" s="5"/>
      <c r="E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2:58" s="6" customFormat="1" ht="20.25" customHeight="1" x14ac:dyDescent="0.3">
      <c r="B237" s="735"/>
      <c r="C237" s="684" t="s">
        <v>236</v>
      </c>
      <c r="D237" s="685"/>
      <c r="E237" s="685"/>
      <c r="F237" s="685"/>
      <c r="G237" s="685"/>
      <c r="H237" s="685"/>
      <c r="I237" s="685"/>
      <c r="J237" s="686"/>
      <c r="K237" s="515" t="str">
        <f>IF(RANK(K230,$K230:$BE230)&gt;5,"",RANK(K230,$K230:$BE230))</f>
        <v/>
      </c>
      <c r="L237" s="516"/>
      <c r="M237" s="516"/>
      <c r="N237" s="517"/>
      <c r="O237" s="515">
        <f>IF(RANK(O230,$K230:$BE230)&gt;5,"",RANK(O230,$K230:$BE230))</f>
        <v>1</v>
      </c>
      <c r="P237" s="516"/>
      <c r="Q237" s="516"/>
      <c r="R237" s="517"/>
      <c r="S237" s="515">
        <f>IF(RANK(S230,$K230:$BE230)&gt;5,"",RANK(S230,$K230:$BE230))</f>
        <v>5</v>
      </c>
      <c r="T237" s="516"/>
      <c r="U237" s="516"/>
      <c r="V237" s="517"/>
      <c r="W237" s="515">
        <f>IF(RANK(W230,$K230:$BE230)&gt;5,"",RANK(W230,$K230:$BE230))</f>
        <v>2</v>
      </c>
      <c r="X237" s="516"/>
      <c r="Y237" s="516"/>
      <c r="Z237" s="517"/>
      <c r="AA237" s="515" t="str">
        <f>IF(RANK(AA230,$K230:$BE230)&gt;5,"",RANK(AA230,$K230:$BE230))</f>
        <v/>
      </c>
      <c r="AB237" s="516"/>
      <c r="AC237" s="516"/>
      <c r="AD237" s="517"/>
      <c r="AE237" s="515">
        <f>IF(RANK(AE230,$K230:$BE230)&gt;5,"",RANK(AE230,$K230:$BE230))</f>
        <v>4</v>
      </c>
      <c r="AF237" s="516"/>
      <c r="AG237" s="516"/>
      <c r="AH237" s="517"/>
      <c r="AI237" s="515">
        <f>IF(RANK(AI230,$K230:$BE230)&gt;5,"",RANK(AI230,$K230:$BE230))</f>
        <v>3</v>
      </c>
      <c r="AJ237" s="516"/>
      <c r="AK237" s="516"/>
      <c r="AL237" s="517"/>
      <c r="AM237" s="515" t="str">
        <f>IF(RANK(AM230,$K230:$BE230)&gt;5,"",RANK(AM230,$K230:$BE230))</f>
        <v/>
      </c>
      <c r="AN237" s="516"/>
      <c r="AO237" s="516"/>
      <c r="AP237" s="517"/>
      <c r="AQ237" s="515" t="str">
        <f>IF(RANK(AQ230,$K230:$BE230)&gt;5,"",RANK(AQ230,$K230:$BE230))</f>
        <v/>
      </c>
      <c r="AR237" s="516"/>
      <c r="AS237" s="516"/>
      <c r="AT237" s="517"/>
      <c r="AU237" s="515" t="str">
        <f>IF(RANK(AU230,$K230:$BE230)&gt;5,"",RANK(AU230,$K230:$BE230))</f>
        <v/>
      </c>
      <c r="AV237" s="516"/>
      <c r="AW237" s="516"/>
      <c r="AX237" s="517"/>
      <c r="AY237" s="515" t="str">
        <f>IF(RANK(AY230,$K230:$BE230)&gt;5,"",RANK(AY230,$K230:$BE230))</f>
        <v/>
      </c>
      <c r="AZ237" s="516"/>
      <c r="BA237" s="516"/>
      <c r="BB237" s="517"/>
      <c r="BC237" s="515" t="str">
        <f>IF(RANK(BC230,$K230:$BE230)&gt;5,"",RANK(BC230,$K230:$BE230))</f>
        <v/>
      </c>
      <c r="BD237" s="516"/>
      <c r="BE237" s="516"/>
      <c r="BF237" s="517"/>
    </row>
    <row r="238" spans="2:58" s="6" customFormat="1" ht="20.25" customHeight="1" x14ac:dyDescent="0.3">
      <c r="B238" s="735"/>
      <c r="C238" s="716" t="s">
        <v>237</v>
      </c>
      <c r="D238" s="717"/>
      <c r="E238" s="717"/>
      <c r="F238" s="717"/>
      <c r="G238" s="717"/>
      <c r="H238" s="717"/>
      <c r="I238" s="717"/>
      <c r="J238" s="718"/>
      <c r="K238" s="518">
        <f>IF(RANK(L231,$K231:$BE231)&gt;6,"",RANK(L231,$K231:$BE231))</f>
        <v>6</v>
      </c>
      <c r="L238" s="519"/>
      <c r="M238" s="519"/>
      <c r="N238" s="520"/>
      <c r="O238" s="518" t="str">
        <f>IF(RANK(P231,$K231:$BE231)&gt;6,"",RANK(P231,$K231:$BE231))</f>
        <v/>
      </c>
      <c r="P238" s="519"/>
      <c r="Q238" s="519"/>
      <c r="R238" s="520"/>
      <c r="S238" s="518">
        <f>IF(RANK(T231,$K231:$BE231)&gt;6,"",RANK(T231,$K231:$BE231))</f>
        <v>4</v>
      </c>
      <c r="T238" s="519"/>
      <c r="U238" s="519"/>
      <c r="V238" s="520"/>
      <c r="W238" s="518">
        <f>IF(RANK(X231,$K231:$BE231)&gt;6,"",RANK(X231,$K231:$BE231))</f>
        <v>2</v>
      </c>
      <c r="X238" s="519"/>
      <c r="Y238" s="519"/>
      <c r="Z238" s="520"/>
      <c r="AA238" s="518">
        <f>IF(RANK(AB231,$K231:$BE231)&gt;6,"",RANK(AB231,$K231:$BE231))</f>
        <v>1</v>
      </c>
      <c r="AB238" s="519"/>
      <c r="AC238" s="519"/>
      <c r="AD238" s="520"/>
      <c r="AE238" s="518">
        <f>IF(RANK(AF231,$K231:$BE231)&gt;6,"",RANK(AF231,$K231:$BE231))</f>
        <v>3</v>
      </c>
      <c r="AF238" s="519"/>
      <c r="AG238" s="519"/>
      <c r="AH238" s="520"/>
      <c r="AI238" s="518">
        <f>IF(RANK(AJ231,$K231:$BE231)&gt;6,"",RANK(AJ231,$K231:$BE231))</f>
        <v>5</v>
      </c>
      <c r="AJ238" s="519"/>
      <c r="AK238" s="519"/>
      <c r="AL238" s="520"/>
      <c r="AM238" s="518" t="str">
        <f>IF(RANK(AN231,$K231:$BE231)&gt;6,"",RANK(AN231,$K231:$BE231))</f>
        <v/>
      </c>
      <c r="AN238" s="519"/>
      <c r="AO238" s="519"/>
      <c r="AP238" s="520"/>
      <c r="AQ238" s="518" t="str">
        <f>IF(RANK(AR231,$K231:$BE231)&gt;6,"",RANK(AR231,$K231:$BE231))</f>
        <v/>
      </c>
      <c r="AR238" s="519"/>
      <c r="AS238" s="519"/>
      <c r="AT238" s="520"/>
      <c r="AU238" s="518" t="str">
        <f>IF(RANK(AV231,$K231:$BE231)&gt;6,"",RANK(AV231,$K231:$BE231))</f>
        <v/>
      </c>
      <c r="AV238" s="519"/>
      <c r="AW238" s="519"/>
      <c r="AX238" s="520"/>
      <c r="AY238" s="518" t="str">
        <f>IF(RANK(AZ231,$K231:$BE231)&gt;6,"",RANK(AZ231,$K231:$BE231))</f>
        <v/>
      </c>
      <c r="AZ238" s="519"/>
      <c r="BA238" s="519"/>
      <c r="BB238" s="520"/>
      <c r="BC238" s="518" t="str">
        <f>IF(RANK(BD231,$K231:$BE231)&gt;6,"",RANK(BD231,$K231:$BE231))</f>
        <v/>
      </c>
      <c r="BD238" s="519"/>
      <c r="BE238" s="519"/>
      <c r="BF238" s="520"/>
    </row>
    <row r="239" spans="2:58" s="6" customFormat="1" ht="20.25" customHeight="1" thickBot="1" x14ac:dyDescent="0.35">
      <c r="B239" s="735"/>
      <c r="C239" s="553" t="s">
        <v>238</v>
      </c>
      <c r="D239" s="554"/>
      <c r="E239" s="554"/>
      <c r="F239" s="554"/>
      <c r="G239" s="554"/>
      <c r="H239" s="554"/>
      <c r="I239" s="554"/>
      <c r="J239" s="555"/>
      <c r="K239" s="521" t="str">
        <f>IF(RANK(M232,$K232:$BE232)&gt;6,"",RANK(M232,$K232:$BE232))</f>
        <v/>
      </c>
      <c r="L239" s="522"/>
      <c r="M239" s="522"/>
      <c r="N239" s="523"/>
      <c r="O239" s="521">
        <f>IF(RANK(Q232,$K232:$BE232)&gt;6,"",RANK(Q232,$K232:$BE232))</f>
        <v>1</v>
      </c>
      <c r="P239" s="522"/>
      <c r="Q239" s="522"/>
      <c r="R239" s="523"/>
      <c r="S239" s="521">
        <f>IF(RANK(U232,$K232:$BE232)&gt;6,"",RANK(U232,$K232:$BE232))</f>
        <v>2</v>
      </c>
      <c r="T239" s="522"/>
      <c r="U239" s="522"/>
      <c r="V239" s="523"/>
      <c r="W239" s="521">
        <f>IF(RANK(Y232,$K232:$BE232)&gt;6,"",RANK(Y232,$K232:$BE232))</f>
        <v>4</v>
      </c>
      <c r="X239" s="522"/>
      <c r="Y239" s="522"/>
      <c r="Z239" s="523"/>
      <c r="AA239" s="521" t="str">
        <f>IF(RANK(AC232,$K232:$BE232)&gt;6,"",RANK(AC232,$K232:$BE232))</f>
        <v/>
      </c>
      <c r="AB239" s="522"/>
      <c r="AC239" s="522"/>
      <c r="AD239" s="523"/>
      <c r="AE239" s="521">
        <f>IF(RANK(AG232,$K232:$BE232)&gt;6,"",RANK(AG232,$K232:$BE232))</f>
        <v>3</v>
      </c>
      <c r="AF239" s="522"/>
      <c r="AG239" s="522"/>
      <c r="AH239" s="523"/>
      <c r="AI239" s="521" t="str">
        <f>IF(RANK(AK232,$K232:$BE232)&gt;6,"",RANK(AK232,$K232:$BE232))</f>
        <v/>
      </c>
      <c r="AJ239" s="522"/>
      <c r="AK239" s="522"/>
      <c r="AL239" s="523"/>
      <c r="AM239" s="521">
        <f>IF(RANK(AO232,$K232:$BE232)&gt;6,"",RANK(AO232,$K232:$BE232))</f>
        <v>5</v>
      </c>
      <c r="AN239" s="522"/>
      <c r="AO239" s="522"/>
      <c r="AP239" s="523"/>
      <c r="AQ239" s="521">
        <f>IF(RANK(AS232,$K232:$BE232)&gt;6,"",RANK(AS232,$K232:$BE232))</f>
        <v>6</v>
      </c>
      <c r="AR239" s="522"/>
      <c r="AS239" s="522"/>
      <c r="AT239" s="523"/>
      <c r="AU239" s="521" t="str">
        <f>IF(RANK(AW232,$K232:$BE232)&gt;6,"",RANK(AW232,$K232:$BE232))</f>
        <v/>
      </c>
      <c r="AV239" s="522"/>
      <c r="AW239" s="522"/>
      <c r="AX239" s="523"/>
      <c r="AY239" s="521" t="str">
        <f>IF(RANK(BA232,$K232:$BE232)&gt;6,"",RANK(BA232,$K232:$BE232))</f>
        <v/>
      </c>
      <c r="AZ239" s="522"/>
      <c r="BA239" s="522"/>
      <c r="BB239" s="523"/>
      <c r="BC239" s="521" t="str">
        <f>IF(RANK(BE232,$K232:$BE232)&gt;6,"",RANK(BE232,$K232:$BE232))</f>
        <v/>
      </c>
      <c r="BD239" s="522"/>
      <c r="BE239" s="522"/>
      <c r="BF239" s="523"/>
    </row>
    <row r="240" spans="2:58" s="6" customFormat="1" ht="20.25" customHeight="1" thickBot="1" x14ac:dyDescent="0.35">
      <c r="B240" s="735"/>
      <c r="C240" s="553" t="s">
        <v>325</v>
      </c>
      <c r="D240" s="554"/>
      <c r="E240" s="554"/>
      <c r="F240" s="554"/>
      <c r="G240" s="554"/>
      <c r="H240" s="554"/>
      <c r="I240" s="554"/>
      <c r="J240" s="555"/>
      <c r="K240" s="524">
        <f>IF(RANK(N233,$K233:$BF233)&gt;6,"",RANK(N233,$K233:$BF233))</f>
        <v>5</v>
      </c>
      <c r="L240" s="525"/>
      <c r="M240" s="525"/>
      <c r="N240" s="526"/>
      <c r="O240" s="524" t="str">
        <f>IF(RANK(R233,$K233:$BF233)&gt;6,"",RANK(R233,$K233:$BF233))</f>
        <v/>
      </c>
      <c r="P240" s="525"/>
      <c r="Q240" s="525"/>
      <c r="R240" s="526"/>
      <c r="S240" s="524">
        <f>IF(RANK(V233,$K233:$BF233)&gt;6,"",RANK(V233,$K233:$BF233))</f>
        <v>1</v>
      </c>
      <c r="T240" s="525"/>
      <c r="U240" s="525"/>
      <c r="V240" s="526"/>
      <c r="W240" s="524" t="str">
        <f>IF(RANK(Z233,$K233:$BF233)&gt;6,"",RANK(Z233,$K233:$BF233))</f>
        <v/>
      </c>
      <c r="X240" s="525"/>
      <c r="Y240" s="525"/>
      <c r="Z240" s="526"/>
      <c r="AA240" s="524" t="str">
        <f>IF(RANK(AD233,$K233:$BF233)&gt;6,"",RANK(AD233,$K233:$BF233))</f>
        <v/>
      </c>
      <c r="AB240" s="525"/>
      <c r="AC240" s="525"/>
      <c r="AD240" s="526"/>
      <c r="AE240" s="524">
        <f>IF(RANK(AH233,$K233:$BF233)&gt;6,"",RANK(AH233,$K233:$BF233))</f>
        <v>6</v>
      </c>
      <c r="AF240" s="525"/>
      <c r="AG240" s="525"/>
      <c r="AH240" s="526"/>
      <c r="AI240" s="524" t="str">
        <f>IF(RANK(AL233,$K233:$BF233)&gt;6,"",RANK(AL233,$K233:$BF233))</f>
        <v/>
      </c>
      <c r="AJ240" s="525"/>
      <c r="AK240" s="525"/>
      <c r="AL240" s="526"/>
      <c r="AM240" s="524">
        <f>IF(RANK(AP233,$K233:$BF233)&gt;6,"",RANK(AP233,$K233:$BF233))</f>
        <v>3</v>
      </c>
      <c r="AN240" s="525"/>
      <c r="AO240" s="525"/>
      <c r="AP240" s="526"/>
      <c r="AQ240" s="524" t="str">
        <f>IF(RANK(AT233,$K233:$BF233)&gt;6,"",RANK(AT233,$K233:$BF233))</f>
        <v/>
      </c>
      <c r="AR240" s="525"/>
      <c r="AS240" s="525"/>
      <c r="AT240" s="526"/>
      <c r="AU240" s="524">
        <f>IF(RANK(AX233,$K233:$BF233)&gt;6,"",RANK(AX233,$K233:$BF233))</f>
        <v>2</v>
      </c>
      <c r="AV240" s="525"/>
      <c r="AW240" s="525"/>
      <c r="AX240" s="526"/>
      <c r="AY240" s="524">
        <f>IF(RANK(BB233,$K233:$BF233)&gt;6,"",RANK(BB233,$K233:$BF233))</f>
        <v>4</v>
      </c>
      <c r="AZ240" s="525"/>
      <c r="BA240" s="525"/>
      <c r="BB240" s="526"/>
      <c r="BC240" s="524" t="str">
        <f>IF(RANK(BF233,$K233:$BF233)&gt;6,"",RANK(BF233,$K233:$BF233))</f>
        <v/>
      </c>
      <c r="BD240" s="525"/>
      <c r="BE240" s="525"/>
      <c r="BF240" s="526"/>
    </row>
    <row r="241" spans="2:58" ht="41.25" customHeight="1" thickBot="1" x14ac:dyDescent="0.35">
      <c r="B241" s="736"/>
      <c r="C241" s="687" t="s">
        <v>239</v>
      </c>
      <c r="D241" s="688"/>
      <c r="E241" s="688"/>
      <c r="F241" s="688"/>
      <c r="G241" s="688"/>
      <c r="H241" s="688"/>
      <c r="I241" s="688"/>
      <c r="J241" s="689"/>
      <c r="K241" s="512">
        <f>IF(K234&lt;&gt;0,RANK(K234,$K234:$BF234),"")</f>
        <v>10</v>
      </c>
      <c r="L241" s="513"/>
      <c r="M241" s="513"/>
      <c r="N241" s="514"/>
      <c r="O241" s="512">
        <f>IF(O234&lt;&gt;0,RANK(O234,$K234:$BF234),"")</f>
        <v>3</v>
      </c>
      <c r="P241" s="513"/>
      <c r="Q241" s="513"/>
      <c r="R241" s="514"/>
      <c r="S241" s="512">
        <f>IF(S234&lt;&gt;0,RANK(S234,$K234:$BF234),"")</f>
        <v>1</v>
      </c>
      <c r="T241" s="513"/>
      <c r="U241" s="513"/>
      <c r="V241" s="514"/>
      <c r="W241" s="512">
        <f>IF(W234&lt;&gt;0,RANK(W234,$K234:$BF234),"")</f>
        <v>2</v>
      </c>
      <c r="X241" s="513"/>
      <c r="Y241" s="513"/>
      <c r="Z241" s="514"/>
      <c r="AA241" s="512">
        <f>IF(AA234&lt;&gt;0,RANK(AA234,$K234:$BF234),"")</f>
        <v>5</v>
      </c>
      <c r="AB241" s="513"/>
      <c r="AC241" s="513"/>
      <c r="AD241" s="514"/>
      <c r="AE241" s="512">
        <f>IF(AE234&lt;&gt;0,RANK(AE234,$K234:$BF234),"")</f>
        <v>4</v>
      </c>
      <c r="AF241" s="513"/>
      <c r="AG241" s="513"/>
      <c r="AH241" s="514"/>
      <c r="AI241" s="512">
        <f>IF(AI234&lt;&gt;0,RANK(AI234,$K234:$BF234),"")</f>
        <v>6</v>
      </c>
      <c r="AJ241" s="513"/>
      <c r="AK241" s="513"/>
      <c r="AL241" s="514"/>
      <c r="AM241" s="512">
        <f>IF(AM234&lt;&gt;0,RANK(AM234,$K234:$BF234),"")</f>
        <v>8</v>
      </c>
      <c r="AN241" s="513"/>
      <c r="AO241" s="513"/>
      <c r="AP241" s="514"/>
      <c r="AQ241" s="512">
        <f>IF(AQ234&lt;&gt;0,RANK(AQ234,$K234:$BF234),"")</f>
        <v>11</v>
      </c>
      <c r="AR241" s="513"/>
      <c r="AS241" s="513"/>
      <c r="AT241" s="514"/>
      <c r="AU241" s="512">
        <f>IF(AU234&lt;&gt;0,RANK(AU234,$K234:$BF234),"")</f>
        <v>7</v>
      </c>
      <c r="AV241" s="513"/>
      <c r="AW241" s="513"/>
      <c r="AX241" s="514"/>
      <c r="AY241" s="512">
        <f>IF(AY234&lt;&gt;0,RANK(AY234,$K234:$BF234),"")</f>
        <v>9</v>
      </c>
      <c r="AZ241" s="513"/>
      <c r="BA241" s="513"/>
      <c r="BB241" s="514"/>
      <c r="BC241" s="512" t="str">
        <f>IF(BC234&lt;&gt;0,RANK(BC234,$K234:$BF234),"")</f>
        <v/>
      </c>
      <c r="BD241" s="513"/>
      <c r="BE241" s="513"/>
      <c r="BF241" s="514"/>
    </row>
    <row r="242" spans="2:58" x14ac:dyDescent="0.3"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</row>
    <row r="243" spans="2:58" x14ac:dyDescent="0.3">
      <c r="K243"/>
    </row>
    <row r="244" spans="2:58" ht="18" customHeight="1" thickBot="1" x14ac:dyDescent="0.35">
      <c r="K244" s="527" t="s">
        <v>227</v>
      </c>
      <c r="L244" s="528"/>
      <c r="M244" s="528"/>
      <c r="N244" s="528"/>
      <c r="O244" s="528"/>
      <c r="P244" s="528"/>
      <c r="Q244" s="528"/>
      <c r="R244" s="528"/>
      <c r="S244" s="528"/>
      <c r="T244" s="528"/>
      <c r="U244" s="528"/>
      <c r="V244" s="528"/>
      <c r="W244" s="528"/>
      <c r="X244" s="528"/>
      <c r="Y244" s="528"/>
      <c r="Z244" s="528"/>
      <c r="AA244" s="528"/>
      <c r="AB244" s="528"/>
      <c r="AC244" s="528"/>
      <c r="AD244" s="528"/>
      <c r="AE244" s="528"/>
      <c r="AF244" s="528"/>
      <c r="AG244" s="528"/>
      <c r="AH244" s="528"/>
      <c r="AI244" s="528"/>
      <c r="AJ244" s="528"/>
      <c r="AK244" s="528"/>
      <c r="AL244" s="528"/>
      <c r="AM244" s="528"/>
      <c r="AN244" s="529"/>
    </row>
    <row r="245" spans="2:58" ht="20.5" thickBot="1" x14ac:dyDescent="0.35">
      <c r="K245" s="556" t="s">
        <v>152</v>
      </c>
      <c r="L245" s="557"/>
      <c r="M245" s="557"/>
      <c r="N245" s="557"/>
      <c r="O245" s="557"/>
      <c r="P245" s="558"/>
      <c r="S245" s="570" t="s">
        <v>153</v>
      </c>
      <c r="T245" s="571"/>
      <c r="U245" s="571"/>
      <c r="V245" s="571"/>
      <c r="W245" s="571"/>
      <c r="X245" s="572"/>
      <c r="AA245" s="533" t="s">
        <v>154</v>
      </c>
      <c r="AB245" s="534"/>
      <c r="AC245" s="534"/>
      <c r="AD245" s="534"/>
      <c r="AE245" s="534"/>
      <c r="AF245" s="535"/>
      <c r="AI245" s="536" t="s">
        <v>320</v>
      </c>
      <c r="AJ245" s="537"/>
      <c r="AK245" s="537"/>
      <c r="AL245" s="537"/>
      <c r="AM245" s="537"/>
      <c r="AN245" s="538"/>
    </row>
    <row r="246" spans="2:58" x14ac:dyDescent="0.3">
      <c r="K246" s="53" t="s">
        <v>213</v>
      </c>
      <c r="L246" s="54" t="str">
        <f>IF(K237=1,K13,IF(O237=1,O13,IF(S237=1,S13,IF(W237=1,W13,IF(AA237=1,AA13,IF(AE237=1,AE13,IF(AI237=1,AI13,IF(AM237=1,AM13,IF(AQ237=1,AQ13,IF(AU237=1,AU13,IF(AY237=1,AY13,IF(BC237=1,BC13,""))))))))))))</f>
        <v>B</v>
      </c>
      <c r="M246" s="644" t="str">
        <f>IF(K237=1,K14,IF(O237=1,O14,IF(S237=1,S14,IF(W237=1,W14,IF(AA237=1,AA14,IF(AE237=1,AE14,IF(AI237=1,AI14,IF(AM237=1,AM14,IF(AQ237=1,AQ14,IF(AU237=1,AU14,IF(AY237=1,AY14,IF(BC237=1,BC14,""))))))))))))</f>
        <v>Stefano</v>
      </c>
      <c r="N246" s="645"/>
      <c r="O246" s="646"/>
      <c r="P246" s="55">
        <f>IF($K237=1,$K230,IF($O237=1,$O230,IF($S237=1,$S230,IF($W237=1,$W230,IF($AA237=1,$AA230,IF($AE237=1,$AE230,IF($AI237=1,$AI230,IF($AM237=1,$AM230,IF($AQ237=1,$AQ230,IF($AU237=1,$AU230,IF($AY237=1,$AY230,IF($BC237=1,$BC230,""))))))))))))</f>
        <v>714</v>
      </c>
      <c r="S246" s="62" t="s">
        <v>213</v>
      </c>
      <c r="T246" s="63" t="str">
        <f>IF(K238=1,K13,IF(O238=1,O13,IF(S238=1,S13,IF(W238=1,W13,IF(AA238=1,AA13,IF(AE238=1,AE13,IF(AI238=1,AI13,IF(AM238=1,AM13,IF(AQ238=1,AQ13,IF(AU238=1,AU13,IF(AY238=1,AY13,IF(BC238=1,BC13,""))))))))))))</f>
        <v>E</v>
      </c>
      <c r="U246" s="573" t="str">
        <f>IF(K238=1,K14,IF(O238=1,O14,IF(S238=1,S14,IF(W238=1,W14,IF(AA238=1,AA14,IF(AE238=1,AE14,IF(AI238=1,AI14,IF(AM238=1,AM14,IF(AQ238=1,AQ14,IF(AU238=1,AU14,IF(AY238=1,AY14,IF(BC238=1,BC14,""))))))))))))</f>
        <v>Alberto</v>
      </c>
      <c r="V246" s="574"/>
      <c r="W246" s="575"/>
      <c r="X246" s="64">
        <f>IF($K238=1,$L231,IF($O238=1,$P231,IF($S238=1,$T231,IF($W238=1,$X231,IF($AA238=1,$AB231,IF($AE238=1,$AF231,IF($AI238=1,$AJ231,IF($AM238=1,$AN231,IF($AQ238=1,$AR231,IF($AU238=1,$AV231,IF($AY238=1,$AZ231,IF($BC238=1,$BD231,""))))))))))))</f>
        <v>840</v>
      </c>
      <c r="AA246" s="71" t="s">
        <v>213</v>
      </c>
      <c r="AB246" s="72" t="str">
        <f>IF(K239=1,K13,IF(O239=1,O13,IF(S239=1,S13,IF(W239=1,W13,IF(AA239=1,AA13,IF(AE239=1,AE13,IF(AI239=1,AI13,IF(AM239=1,AM13,IF(AQ239=1,AQ13,IF(AU239=1,AU13,IF(AY239=1,AY13,IF(BC239=1,BC13,""))))))))))))</f>
        <v>B</v>
      </c>
      <c r="AC246" s="579" t="str">
        <f>IF(K239=1,K14,IF(O239=1,O14,IF(S239=1,S14,IF(W239=1,W14,IF(AA239=1,AA14,IF(AE239=1,AE14,IF(AI239=1,AI14,IF(AM239=1,AM14,IF(AQ239=1,AQ14,IF(AU239=1,AU14,IF(AY239=1,AY14,IF(BC239=1,BC14,""))))))))))))</f>
        <v>Stefano</v>
      </c>
      <c r="AD246" s="580"/>
      <c r="AE246" s="581"/>
      <c r="AF246" s="73">
        <f>IF($K239=1,$M232,IF($O239=1,$Q232,IF($S239=1,$U232,IF($W239=1,$Y232,IF($AA239=1,$AC232,IF($AE239=1,$AG232,IF($AI239=1,$AK232,IF($AM239=1,$AO232,IF($AQ239=1,$AS232,IF($AU239=1,$AW232,IF($AY239=1,$BA232,IF($BC239=1,$BE232,""))))))))))))</f>
        <v>840</v>
      </c>
      <c r="AI246" s="171" t="s">
        <v>213</v>
      </c>
      <c r="AJ246" s="172" t="str">
        <f>IF(K240=1,K13,IF(O240=1,O13,IF(S240=1,S13,IF(W240=1,W13,IF(AA240=1,AA13,IF(AE240=1,AE13,IF(AI240=1,AI13,IF(AM240=1,AM13,IF(AQ240=1,AQ13,IF(AU240=1,AU13,IF(AY240=1,AY13,IF(BC240=1,BC13,""))))))))))))</f>
        <v>C</v>
      </c>
      <c r="AK246" s="539" t="str">
        <f>IF(K240=1,K14,IF(O240=1,O14,IF(S240=1,S14,IF(W240=1,W14,IF(AA240=1,AA14,IF(AE240=1,AE14,IF(AI240=1,AI14,IF(AM240=1,AM14,IF(AQ240=1,AQ14,IF(AU240=1,AU14,IF(AY240=1,AY14,IF(BC240=1,BC14,""))))))))))))</f>
        <v>Pietro</v>
      </c>
      <c r="AL246" s="540"/>
      <c r="AM246" s="541"/>
      <c r="AN246" s="367">
        <f>IF($K240=1,$N233,IF($O240=1,$R233,IF($S240=1,$V233,IF($W240=1,$Z233,IF($AA240=1,$AD233,IF($AE240=1,$AH233,IF($AI240=1,$AL233,IF($AM240=1,$AP233,IF($AQ240=1,$AT233,IF($AU240=1,$AX233,IF($AY240=1,$BB233,IF($BC240=1,$BF233,""))))))))))))</f>
        <v>840</v>
      </c>
    </row>
    <row r="247" spans="2:58" x14ac:dyDescent="0.3">
      <c r="K247" s="56" t="s">
        <v>214</v>
      </c>
      <c r="L247" s="57" t="str">
        <f>IF(K237=2,K13,IF(O237=2,O13,IF(S237=2,S13,IF(W237=2,W13,IF(AA237=2,AA13,IF(AE237=2,AE13,IF(AI237=2,AI13,IF(AM237=2,AM13,IF(AQ237=2,AQ13,IF(AU237=2,AU13,IF(AY237=2,AY13,IF(BC237=2,BC13,""))))))))))))</f>
        <v>D</v>
      </c>
      <c r="M247" s="564" t="str">
        <f>IF(K237=2,K14,IF(O237=2,O14,IF(S237=2,S14,IF(W237=2,W14,IF(AA237=2,AA14,IF(AE237=2,AE14,IF(AI237=2,AI14,IF(AM237=2,AM14,IF(AQ237=2,AQ14,IF(AU237=2,AU14,IF(AY237=2,AY14,IF(BC237=2,BC14,""))))))))))))</f>
        <v>Alessandro</v>
      </c>
      <c r="N247" s="565"/>
      <c r="O247" s="566"/>
      <c r="P247" s="58">
        <f>IF($K237=2,$K230,IF($O237=2,$O230,IF($S237=2,$S230,IF($W237=2,$W230,IF($AA237=2,$AA230,IF($AE237=2,$AE230,IF($AI237=2,$AI230,IF($AM237=2,$AM230,IF($AQ237=2,$AQ230,IF($AU237=2,$AU230,IF($AY237=2,$AY230,IF($BC237=2,$BC230,""))))))))))))</f>
        <v>672</v>
      </c>
      <c r="S247" s="65" t="s">
        <v>214</v>
      </c>
      <c r="T247" s="66" t="str">
        <f>IF(K238=2,K13,IF(O238=2,O13,IF(S238=2,S13,IF(W238=2,W13,IF(AA238=2,AA13,IF(AE238=2,AE13,IF(AI238=2,AI13,IF(AM238=2,AM13,IF(AQ238=2,AQ13,IF(AU238=2,AU13,IF(AY238=2,AY13,IF(BC238=2,BC13,""))))))))))))</f>
        <v>D</v>
      </c>
      <c r="U247" s="576" t="str">
        <f>IF(K238=2,K14,IF(O238=2,O14,IF(S238=2,S14,IF(W238=2,W14,IF(AA238=2,AA14,IF(AE238=2,AE14,IF(AI238=2,AI14,IF(AM238=2,AM14,IF(AQ238=2,AQ14,IF(AU238=2,AU14,IF(AY238=2,AY14,IF(BC238=2,BC14,""))))))))))))</f>
        <v>Alessandro</v>
      </c>
      <c r="V247" s="577"/>
      <c r="W247" s="578"/>
      <c r="X247" s="67">
        <f>IF($K238=2,$L231,IF($O238=2,$P231,IF($S238=2,$T231,IF($W238=2,$X231,IF($AA238=2,$AB231,IF($AE238=2,$AF231,IF($AI238=2,$AJ231,IF($AM238=2,$AN231,IF($AQ238=2,$AR231,IF($AU238=2,$AV231,IF($AY238=2,$AZ231,IF($BC238=2,$BD231,""))))))))))))</f>
        <v>705.38461538461536</v>
      </c>
      <c r="AA247" s="74" t="s">
        <v>214</v>
      </c>
      <c r="AB247" s="75" t="str">
        <f>IF(K239=2,K13,IF(O239=2,O13,IF(S239=2,S13,IF(W239=2,W13,IF(AA239=2,AA13,IF(AE239=2,AE13,IF(AI239=2,AI13,IF(AM239=2,AM13,IF(AQ239=2,AQ13,IF(AU239=2,AU13,IF(AY239=2,AY13,IF(BC239=2,BC13,""))))))))))))</f>
        <v>C</v>
      </c>
      <c r="AC247" s="582" t="str">
        <f>IF(K239=2,K14,IF(O239=2,O14,IF(S239=2,S14,IF(W239=2,W14,IF(AA239=2,AA14,IF(AE239=2,AE14,IF(AI239=2,AI14,IF(AM239=2,AM14,IF(AQ239=2,AQ14,IF(AU239=2,AU14,IF(AY239=2,AY14,IF(BC239=2,BC14,""))))))))))))</f>
        <v>Pietro</v>
      </c>
      <c r="AD247" s="583"/>
      <c r="AE247" s="584"/>
      <c r="AF247" s="76">
        <f>IF($K239=2,$M232,IF($O239=2,$Q232,IF($S239=2,$U232,IF($W239=2,$Y232,IF($AA239=2,$AC232,IF($AE239=2,$AG232,IF($AI239=2,$AK232,IF($AM239=2,$AO232,IF($AQ239=2,$AS232,IF($AU239=2,$AW232,IF($AY239=2,$BA232,IF($BC239=2,$BE232,""))))))))))))</f>
        <v>770</v>
      </c>
      <c r="AI247" s="173" t="s">
        <v>214</v>
      </c>
      <c r="AJ247" s="174" t="str">
        <f>IF(K240=2,K13,IF(O240=2,O13,IF(S240=2,S13,IF(W240=2,W13,IF(AA240=2,AA13,IF(AE240=2,AE13,IF(AI240=2,AI13,IF(AM240=2,AM13,IF(AQ240=2,AQ13,IF(AU240=2,AU13,IF(AY240=2,AY13,IF(BC240=2,BC13,""))))))))))))</f>
        <v>J</v>
      </c>
      <c r="AK247" s="478" t="str">
        <f>IF(K240=2,K14,IF(O240=2,O14,IF(S240=2,S14,IF(W240=2,W14,IF(AA240=2,AA14,IF(AE240=2,AE14,IF(AI240=2,AI14,IF(AM240=2,AM14,IF(AQ240=2,AQ14,IF(AU240=2,AU14,IF(AY240=2,AY14,IF(BC240=2,BC14,""))))))))))))</f>
        <v>Emma</v>
      </c>
      <c r="AL247" s="479"/>
      <c r="AM247" s="480"/>
      <c r="AN247" s="368">
        <f>IF($K240=2,$N233,IF($O240=2,$R233,IF($S240=2,$V233,IF($W240=2,$Z233,IF($AA240=2,$AD233,IF($AE240=2,$AH233,IF($AI240=2,$AL233,IF($AM240=2,$AP233,IF($AQ240=2,$AT233,IF($AU240=2,$AX233,IF($AY240=2,$BB233,IF($BC240=2,$BF233,""))))))))))))</f>
        <v>644</v>
      </c>
    </row>
    <row r="248" spans="2:58" x14ac:dyDescent="0.3">
      <c r="K248" s="56" t="s">
        <v>215</v>
      </c>
      <c r="L248" s="57" t="str">
        <f>IF(K237=3,K13,IF(O237=3,O13,IF(S237=3,S13,IF(W237=3,W13,IF(AA237=3,AA13,IF(AE237=3,AE13,IF(AI237=3,AI13,IF(AM237=3,AM13,IF(AQ237=3,AQ13,IF(AU237=3,AU13,IF(AY237=3,AY13,IF(BC237=3,BC13,""))))))))))))</f>
        <v>G</v>
      </c>
      <c r="M248" s="564" t="str">
        <f>IF(K237=3,K14,IF(O237=3,O14,IF(S237=3,S14,IF(W237=3,W14,IF(AA237=3,AA14,IF(AE237=3,AE14,IF(AI237=3,AI14,IF(AM237=3,AM14,IF(AQ237=3,AQ14,IF(AU237=3,AU14,IF(AY237=3,AY14,IF(BC237=3,BC14,""))))))))))))</f>
        <v>Gianluca</v>
      </c>
      <c r="N248" s="565"/>
      <c r="O248" s="566"/>
      <c r="P248" s="58">
        <f>IF($K237=3,$K230,IF($O237=3,$O230,IF($S237=3,$S230,IF($W237=3,$W230,IF($AA237=3,$AA230,IF($AE237=3,$AE230,IF($AI237=3,$AI230,IF($AM237=3,$AM230,IF($AQ237=3,$AQ230,IF($AU237=3,$AU230,IF($AY237=3,$AY230,IF($BC237=3,$BC230,""))))))))))))</f>
        <v>630</v>
      </c>
      <c r="S248" s="65" t="s">
        <v>215</v>
      </c>
      <c r="T248" s="66" t="str">
        <f>IF(K238=3,K13,IF(O238=3,O13,IF(S238=3,S13,IF(W238=3,W13,IF(AA238=3,AA13,IF(AE238=3,AE13,IF(AI238=3,AI13,IF(AM238=3,AM13,IF(AQ238=3,AQ13,IF(AU238=3,AU13,IF(AY238=3,AY13,IF(BC238=3,BC13,""))))))))))))</f>
        <v>F</v>
      </c>
      <c r="U248" s="576" t="str">
        <f>IF(K238=3,K14,IF(O238=3,O14,IF(S238=3,S14,IF(W238=3,W14,IF(AA238=3,AA14,IF(AE238=3,AE14,IF(AI238=3,AI14,IF(AM238=3,AM14,IF(AQ238=3,AQ14,IF(AU238=3,AU14,IF(AY238=3,AY14,IF(BC238=3,BC14,""))))))))))))</f>
        <v>Massimo</v>
      </c>
      <c r="V248" s="577"/>
      <c r="W248" s="578"/>
      <c r="X248" s="67">
        <f>IF($K238=3,$L231,IF($O238=3,$P231,IF($S238=3,$T231,IF($W238=3,$X231,IF($AA238=3,$AB231,IF($AE238=3,$AF231,IF($AI238=3,$AJ231,IF($AM238=3,$AN231,IF($AQ238=3,$AR231,IF($AU238=3,$AV231,IF($AY238=3,$AZ231,IF($BC238=3,$BD231,""))))))))))))</f>
        <v>420</v>
      </c>
      <c r="AA248" s="74" t="s">
        <v>215</v>
      </c>
      <c r="AB248" s="75" t="str">
        <f>IF(K239=3,K13,IF(O239=3,O13,IF(S239=3,S13,IF(W239=3,W13,IF(AA239=3,AA13,IF(AE239=3,AE13,IF(AI239=3,AI13,IF(AM239=3,AM13,IF(AQ239=3,AQ13,IF(AU239=3,AU13,IF(AY239=3,AY13,IF(BC239=3,BC13,""))))))))))))</f>
        <v>F</v>
      </c>
      <c r="AC248" s="582" t="str">
        <f>IF(K239=3,K14,IF(O239=3,O14,IF(S239=3,S14,IF(W239=3,W14,IF(AA239=3,AA14,IF(AE239=3,AE14,IF(AI239=3,AI14,IF(AM239=3,AM14,IF(AQ239=3,AQ14,IF(AU239=3,AU14,IF(AY239=3,AY14,IF(BC239=3,BC14,""))))))))))))</f>
        <v>Massimo</v>
      </c>
      <c r="AD248" s="583"/>
      <c r="AE248" s="584"/>
      <c r="AF248" s="76">
        <f>IF($K239=3,$M232,IF($O239=3,$Q232,IF($S239=3,$U232,IF($W239=3,$Y232,IF($AA239=3,$AC232,IF($AE239=3,$AG232,IF($AI239=3,$AK232,IF($AM239=3,$AO232,IF($AQ239=3,$AS232,IF($AU239=3,$AW232,IF($AY239=3,$BA232,IF($BC239=3,$BE232,""))))))))))))</f>
        <v>350</v>
      </c>
      <c r="AI248" s="173" t="s">
        <v>215</v>
      </c>
      <c r="AJ248" s="174" t="str">
        <f>IF(K240=3,K13,IF(O240=3,O13,IF(S240=3,S13,IF(W240=3,W13,IF(AA240=3,AA13,IF(AE240=3,AE13,IF(AI240=3,AI13,IF(AM240=3,AM13,IF(AQ240=3,AQ13,IF(AU240=3,AU13,IF(AY240=3,AY13,IF(BC240=3,BC13,""))))))))))))</f>
        <v>H</v>
      </c>
      <c r="AK248" s="478" t="str">
        <f>IF(K240=3,K14,IF(O240=3,O14,IF(S240=3,S14,IF(W240=3,W14,IF(AA240=3,AA14,IF(AE240=3,AE14,IF(AI240=3,AI14,IF(AM240=3,AM14,IF(AQ240=3,AQ14,IF(AU240=3,AU14,IF(AY240=3,AY14,IF(BC240=3,BC14,""))))))))))))</f>
        <v>Claudia</v>
      </c>
      <c r="AL248" s="479"/>
      <c r="AM248" s="480"/>
      <c r="AN248" s="368">
        <f>IF($K240=3,$N233,IF($O240=3,$R233,IF($S240=3,$V233,IF($W240=3,$Z233,IF($AA240=3,$AD233,IF($AE240=3,$AH233,IF($AI240=3,$AL233,IF($AM240=3,$AP233,IF($AQ240=3,$AT233,IF($AU240=3,$AX233,IF($AY240=3,$BB233,IF($BC240=3,$BF233,""))))))))))))</f>
        <v>420</v>
      </c>
    </row>
    <row r="249" spans="2:58" x14ac:dyDescent="0.3">
      <c r="K249" s="56" t="s">
        <v>216</v>
      </c>
      <c r="L249" s="57" t="str">
        <f>IF(K237=4,K13,IF(O237=4,O13,IF(S237=4,S13,IF(W237=4,W13,IF(AA237=4,AA13,IF(AE237=4,AE13,IF(AI237=4,AI13,IF(AM237=4,AM13,IF(AQ237=4,AQ13,IF(AU237=4,AU13,IF(AY237=4,AY13,IF(BC237=4,BC13,""))))))))))))</f>
        <v>F</v>
      </c>
      <c r="M249" s="564" t="str">
        <f>IF(K237=4,K14,IF(O237=4,O14,IF(S237=4,S14,IF(W237=4,W14,IF(AA237=4,AA14,IF(AE237=4,AE14,IF(AI237=4,AI14,IF(AM237=4,AM14,IF(AQ237=4,AQ14,IF(AU237=4,AU14,IF(AY237=4,AY14,IF(BC237=4,BC14,""))))))))))))</f>
        <v>Massimo</v>
      </c>
      <c r="N249" s="565"/>
      <c r="O249" s="566"/>
      <c r="P249" s="58">
        <f>IF($K237=4,$K230,IF($O237=4,$O230,IF($S237=4,$S230,IF($W237=4,$W230,IF($AA237=4,$AA230,IF($AE237=4,$AE230,IF($AI237=4,$AI230,IF($AM237=4,$AM230,IF($AQ237=4,$AQ230,IF($AU237=4,$AU230,IF($AY237=4,$AY230,IF($BC237=4,$BC230,""))))))))))))</f>
        <v>462</v>
      </c>
      <c r="S249" s="65" t="s">
        <v>216</v>
      </c>
      <c r="T249" s="66" t="str">
        <f>IF(K238=4,K13,IF(O238=4,O13,IF(S238=4,S13,IF(W238=4,W13,IF(AA238=4,AA13,IF(AE238=4,AE13,IF(AI238=4,AI13,IF(AM238=4,AM13,IF(AQ238=4,AQ13,IF(AU238=4,AU13,IF(AY238=4,AY13,IF(BC238=4,BC13,""))))))))))))</f>
        <v>C</v>
      </c>
      <c r="U249" s="576" t="str">
        <f>IF(K238=4,K14,IF(O238=4,O14,IF(S238=4,S14,IF(W238=4,W14,IF(AA238=4,AA14,IF(AE238=4,AE14,IF(AI238=4,AI14,IF(AM238=4,AM14,IF(AQ238=4,AQ14,IF(AU238=4,AU14,IF(AY238=4,AY14,IF(BC238=4,BC14,""))))))))))))</f>
        <v>Pietro</v>
      </c>
      <c r="V249" s="577"/>
      <c r="W249" s="578"/>
      <c r="X249" s="67">
        <f>IF($K238=4,$L231,IF($O238=4,$P231,IF($S238=4,$T231,IF($W238=4,$X231,IF($AA238=4,$AB231,IF($AE238=4,$AF231,IF($AI238=4,$AJ231,IF($AM238=4,$AN231,IF($AQ238=4,$AR231,IF($AU238=4,$AV231,IF($AY238=4,$AZ231,IF($BC238=4,$BD231,""))))))))))))</f>
        <v>360.58536585365852</v>
      </c>
      <c r="AA249" s="74" t="s">
        <v>216</v>
      </c>
      <c r="AB249" s="75" t="str">
        <f>IF(K239=4,K13,IF(O239=4,O13,IF(S239=4,S13,IF(W239=4,W13,IF(AA239=4,AA13,IF(AE239=4,AE13,IF(AI239=4,AI13,IF(AM239=4,AM13,IF(AQ239=4,AQ13,IF(AU239=4,AU13,IF(AY239=4,AY13,IF(BC239=4,BC13,""))))))))))))</f>
        <v>D</v>
      </c>
      <c r="AC249" s="582" t="str">
        <f>IF(K239=4,K14,IF(O239=4,O14,IF(S239=4,S14,IF(W239=4,W14,IF(AA239=4,AA14,IF(AE239=4,AE14,IF(AI239=4,AI14,IF(AM239=4,AM14,IF(AQ239=4,AQ14,IF(AU239=4,AU14,IF(AY239=4,AY14,IF(BC239=4,BC14,""))))))))))))</f>
        <v>Alessandro</v>
      </c>
      <c r="AD249" s="583"/>
      <c r="AE249" s="584"/>
      <c r="AF249" s="76">
        <f>IF($K239=4,$M232,IF($O239=4,$Q232,IF($S239=4,$U232,IF($W239=4,$Y232,IF($AA239=4,$AC232,IF($AE239=4,$AG232,IF($AI239=4,$AK232,IF($AM239=4,$AO232,IF($AQ239=4,$AS232,IF($AU239=4,$AW232,IF($AY239=4,$BA232,IF($BC239=4,$BE232,""))))))))))))</f>
        <v>280</v>
      </c>
      <c r="AI249" s="173" t="s">
        <v>216</v>
      </c>
      <c r="AJ249" s="174" t="str">
        <f>IF(K240=4,K13,IF(O240=4,O13,IF(S240=4,S13,IF(W240=4,W13,IF(AA240=4,AA13,IF(AE240=4,AE13,IF(AI240=4,AI13,IF(AM240=4,AM13,IF(AQ240=4,AQ13,IF(AU240=4,AU13,IF(AY240=4,AY13,IF(BC240=4,BC13,""))))))))))))</f>
        <v>K</v>
      </c>
      <c r="AK249" s="478" t="str">
        <f>IF(K240=4,K14,IF(O240=4,O14,IF(S240=4,S14,IF(W240=4,W14,IF(AA240=4,AA14,IF(AE240=4,AE14,IF(AI240=4,AI14,IF(AM240=4,AM14,IF(AQ240=4,AQ14,IF(AU240=4,AU14,IF(AY240=4,AY14,IF(BC240=4,BC14,""))))))))))))</f>
        <v>Gustavo</v>
      </c>
      <c r="AL249" s="479"/>
      <c r="AM249" s="480"/>
      <c r="AN249" s="368">
        <f>IF($K240=4,$N233,IF($O240=4,$R233,IF($S240=4,$V233,IF($W240=4,$Z233,IF($AA240=4,$AD233,IF($AE240=4,$AH233,IF($AI240=4,$AL233,IF($AM240=4,$AP233,IF($AQ240=4,$AT233,IF($AU240=4,$AX233,IF($AY240=4,$BB233,IF($BC240=4,$BF233,""))))))))))))</f>
        <v>360</v>
      </c>
    </row>
    <row r="250" spans="2:58" x14ac:dyDescent="0.3">
      <c r="K250" s="59" t="s">
        <v>217</v>
      </c>
      <c r="L250" s="60" t="str">
        <f>IF(K237=5,K13,IF(O237=5,O13,IF(S237=5,S13,IF(W237=5,W13,IF(AA237=5,AA13,IF(AE237=5,AE13,IF(AI237=5,AI13,IF(AM237=5,AM13,IF(AQ237=5,AQ13,IF(AU237=5,AU13,IF(AY237=5,AY13,IF(BC237=5,BC13,""))))))))))))</f>
        <v>C</v>
      </c>
      <c r="M250" s="567" t="str">
        <f>IF(K237=5,K14,IF(O237=5,O14,IF(S237=5,S14,IF(W237=5,W14,IF(AA237=5,AA14,IF(AE237=5,AE14,IF(AI237=5,AI14,IF(AM237=5,AM14,IF(AQ237=5,AQ14,IF(AU237=5,AU14,IF(AY237=5,AY14,IF(BC237=5,BC14,""))))))))))))</f>
        <v>Pietro</v>
      </c>
      <c r="N250" s="568"/>
      <c r="O250" s="569"/>
      <c r="P250" s="61">
        <f>IF($K237=5,$K230,IF($O237=5,$O230,IF($S237=5,$S230,IF($W237=5,$W230,IF($AA237=5,$AA230,IF($AE237=5,$AE230,IF($AI237=5,$AI230,IF($AM237=5,$AM230,IF($AQ237=5,$AQ230,IF($AU237=5,$AU230,IF($AY237=5,$AY230,IF($BC237=5,$BC230,""))))))))))))</f>
        <v>378</v>
      </c>
      <c r="S250" s="65" t="s">
        <v>217</v>
      </c>
      <c r="T250" s="66" t="str">
        <f>IF(K238=5,K13,IF(O238=5,O13,IF(S238=5,S13,IF(W238=5,W13,IF(AA238=5,AA13,IF(AE238=5,AE13,IF(AI238=5,AI13,IF(AM238=5,AM13,IF(AQ238=5,AQ13,IF(AU238=5,AU13,IF(AY238=5,AY13,IF(BC238=5,BC13,""))))))))))))</f>
        <v>G</v>
      </c>
      <c r="U250" s="576" t="str">
        <f>IF(K238=5,K14,IF(O238=5,O14,IF(S238=5,S14,IF(W238=5,W14,IF(AA238=5,AA14,IF(AE238=5,AE14,IF(AI238=5,AI14,IF(AM238=5,AM14,IF(AQ238=5,AQ14,IF(AU238=5,AU14,IF(AY238=5,AY14,IF(BC238=5,BC14,""))))))))))))</f>
        <v>Gianluca</v>
      </c>
      <c r="V250" s="577"/>
      <c r="W250" s="578"/>
      <c r="X250" s="67">
        <f>IF($K238=5,$L231,IF($O238=5,$P231,IF($S238=5,$T231,IF($W238=5,$X231,IF($AA238=5,$AB231,IF($AE238=5,$AF231,IF($AI238=5,$AJ231,IF($AM238=5,$AN231,IF($AQ238=5,$AR231,IF($AU238=5,$AV231,IF($AY238=5,$AZ231,IF($BC238=5,$BD231,""))))))))))))</f>
        <v>140</v>
      </c>
      <c r="AA250" s="74" t="s">
        <v>217</v>
      </c>
      <c r="AB250" s="75" t="str">
        <f>IF(K239=5,K13,IF(O239=5,O13,IF(S239=5,S13,IF(W239=5,W13,IF(AA239=5,AA13,IF(AE239=5,AE13,IF(AI239=5,AI13,IF(AM239=5,AM13,IF(AQ239=5,AQ13,IF(AU239=5,AU13,IF(AY239=5,AY13,IF(BC239=5,BC13,""))))))))))))</f>
        <v>H</v>
      </c>
      <c r="AC250" s="582" t="str">
        <f>IF(K239=5,K14,IF(O239=5,O14,IF(S239=5,S14,IF(W239=5,W14,IF(AA239=5,AA14,IF(AE239=5,AE14,IF(AI239=5,AI14,IF(AM239=5,AM14,IF(AQ239=5,AQ14,IF(AU239=5,AU14,IF(AY239=5,AY14,IF(BC239=5,BC14,""))))))))))))</f>
        <v>Claudia</v>
      </c>
      <c r="AD250" s="583"/>
      <c r="AE250" s="584"/>
      <c r="AF250" s="76">
        <f>IF($K239=5,$M232,IF($O239=5,$Q232,IF($S239=5,$U232,IF($W239=5,$Y232,IF($AA239=5,$AC232,IF($AE239=5,$AG232,IF($AI239=5,$AK232,IF($AM239=5,$AO232,IF($AQ239=5,$AS232,IF($AU239=5,$AW232,IF($AY239=5,$BA232,IF($BC239=5,$BE232,""))))))))))))</f>
        <v>140</v>
      </c>
      <c r="AI250" s="173" t="s">
        <v>217</v>
      </c>
      <c r="AJ250" s="174" t="str">
        <f>IF(K240=5,K13,IF(O240=5,O13,IF(S240=5,S13,IF(W240=5,W13,IF(AA240=5,AA13,IF(AE240=5,AE13,IF(AI240=5,AI13,IF(AM240=5,AM13,IF(AQ240=5,AQ13,IF(AU240=5,AU13,IF(AY240=5,AY13,IF(BC240=5,BC13,""))))))))))))</f>
        <v>A</v>
      </c>
      <c r="AK250" s="478" t="str">
        <f>IF(K240=5,K14,IF(O240=5,O14,IF(S240=5,S14,IF(W240=5,W14,IF(AA240=5,AA14,IF(AE240=5,AE14,IF(AI240=5,AI14,IF(AM240=5,AM14,IF(AQ240=5,AQ14,IF(AU240=5,AU14,IF(AY240=5,AY14,IF(BC240=5,BC14,""))))))))))))</f>
        <v>Gianni</v>
      </c>
      <c r="AL250" s="479"/>
      <c r="AM250" s="480"/>
      <c r="AN250" s="368">
        <f>IF($K240=5,$N233,IF($O240=5,$R233,IF($S240=5,$V233,IF($W240=5,$Z233,IF($AA240=5,$AD233,IF($AE240=5,$AH233,IF($AI240=5,$AL233,IF($AM240=5,$AP233,IF($AQ240=5,$AT233,IF($AU240=5,$AX233,IF($AY240=5,$BB233,IF($BC240=5,$BF233,""))))))))))))</f>
        <v>140</v>
      </c>
    </row>
    <row r="251" spans="2:58" x14ac:dyDescent="0.3">
      <c r="L251" s="1"/>
      <c r="M251" s="1"/>
      <c r="N251" s="1"/>
      <c r="S251" s="68" t="s">
        <v>218</v>
      </c>
      <c r="T251" s="69" t="str">
        <f>IF(K238=6,K13,IF(O238=6,O13,IF(S238=6,S13,IF(W238=6,W13,IF(AA238=6,AA13,IF(AE238=6,AE13,IF(AI238=6,AI13,IF(AM238=6,AM13,IF(AQ238=6,AQ13,IF(AU238=6,AU13,IF(AY238=6,AY13,IF(BC238=6,BC13,""))))))))))))</f>
        <v>A</v>
      </c>
      <c r="U251" s="659" t="str">
        <f>IF(K238=6,K14,IF(O238=6,O14,IF(S238=6,S14,IF(W238=6,W14,IF(AA238=6,AA14,IF(AE238=6,AE14,IF(AI238=6,AI14,IF(AM238=6,AM14,IF(AQ238=6,AQ14,IF(AU238=6,AU14,IF(AY238=6,AY14,IF(BC238=6,BC14,""))))))))))))</f>
        <v>Gianni</v>
      </c>
      <c r="V251" s="660"/>
      <c r="W251" s="661"/>
      <c r="X251" s="70">
        <f>IF($K238=6,$L231,IF($O238=6,$P231,IF($S238=6,$T231,IF($W238=6,$X231,IF($AA238=6,$AB231,IF($AE238=6,$AF231,IF($AI238=6,$AJ231,IF($AM238=6,$AN231,IF($AQ238=6,$AR231,IF($AU238=6,$AV231,IF($AY238=6,$AZ231,IF($BC238=6,$BD231,""))))))))))))</f>
        <v>127.49999999999999</v>
      </c>
      <c r="AA251" s="77" t="s">
        <v>218</v>
      </c>
      <c r="AB251" s="83" t="str">
        <f>IF(K239=6,K13,IF(O239=6,O13,IF(S239=6,S13,IF(W239=6,W13,IF(AA239=6,AA13,IF(AE239=6,AE13,IF(AI239=6,AI13,IF(AM239=6,AM13,IF(AQ239=6,AQ13,IF(AU239=6,AU13,IF(AY239=6,AY13,IF(BC239=6,BC13,""))))))))))))</f>
        <v>I</v>
      </c>
      <c r="AC251" s="530" t="str">
        <f>IF(K239=6,K14,IF(O239=6,O14,IF(S239=6,S14,IF(W239=6,W14,IF(AA239=6,AA14,IF(AE239=6,AE14,IF(AI239=6,AI14,IF(AM239=6,AM14,IF(AQ239=6,AQ14,IF(AU239=6,AU14,IF(AY239=6,AY14,IF(BC239=6,BC14,""))))))))))))</f>
        <v>Matheus</v>
      </c>
      <c r="AD251" s="531"/>
      <c r="AE251" s="532"/>
      <c r="AF251" s="78">
        <f>IF($K239=6,$M232,IF($O239=6,$Q232,IF($S239=6,$U232,IF($W239=6,$Y232,IF($AA239=6,$AC232,IF($AE239=6,$AG232,IF($AI239=6,$AK232,IF($AM239=6,$AO232,IF($AQ239=6,$AS232,IF($AU239=6,$AW232,IF($AY239=6,$BA232,IF($BC239=6,$BE232,""))))))))))))</f>
        <v>56</v>
      </c>
      <c r="AI251" s="175" t="s">
        <v>218</v>
      </c>
      <c r="AJ251" s="176" t="str">
        <f>IF(K240=6,K13,IF(O240=6,O13,IF(S240=6,S13,IF(W240=6,W13,IF(AA240=6,AA13,IF(AE240=6,AE13,IF(AI240=6,AI13,IF(AM240=6,AM13,IF(AQ240=6,AQ13,IF(AU240=6,AU13,IF(AY240=6,AY13,IF(BC240=6,BC13,""))))))))))))</f>
        <v>F</v>
      </c>
      <c r="AK251" s="481" t="str">
        <f>IF(K240=6,K14,IF(O240=6,O14,IF(S240=6,S14,IF(W240=6,W14,IF(AA240=6,AA14,IF(AE240=6,AE14,IF(AI240=6,AI14,IF(AM240=6,AM14,IF(AQ240=6,AQ14,IF(AU240=6,AU14,IF(AY240=6,AY14,IF(BC240=6,BC14,""))))))))))))</f>
        <v>Massimo</v>
      </c>
      <c r="AL251" s="482"/>
      <c r="AM251" s="483"/>
      <c r="AN251" s="369">
        <f>IF($K240=6,$N233,IF($O240=6,$R233,IF($S240=6,$V233,IF($W240=6,$Z233,IF($AA240=6,$AD233,IF($AE240=6,$AH233,IF($AI240=6,$AL233,IF($AM240=6,$AP233,IF($AQ240=6,$AT233,IF($AU240=6,$AX233,IF($AY240=6,$BB233,IF($BC240=6,$BF233,""))))))))))))</f>
        <v>56</v>
      </c>
    </row>
    <row r="253" spans="2:58" ht="22" x14ac:dyDescent="0.4">
      <c r="K253" s="756" t="s">
        <v>313</v>
      </c>
      <c r="L253" s="757"/>
      <c r="M253" s="757"/>
      <c r="N253" s="757"/>
      <c r="O253" s="757"/>
      <c r="P253" s="448">
        <f>SUM(I16:J23,I56:J63,I96:J103,I176:J180)</f>
        <v>213</v>
      </c>
      <c r="S253" s="758" t="s">
        <v>314</v>
      </c>
      <c r="T253" s="759"/>
      <c r="U253" s="759"/>
      <c r="V253" s="759"/>
      <c r="W253" s="759"/>
      <c r="X253" s="449">
        <f>SUM(I186:J192,I104:J111,I64:J71,I24:J31)</f>
        <v>12078</v>
      </c>
      <c r="AA253" s="760" t="s">
        <v>315</v>
      </c>
      <c r="AB253" s="761"/>
      <c r="AC253" s="761"/>
      <c r="AD253" s="761"/>
      <c r="AE253" s="761"/>
      <c r="AF253" s="450">
        <f>SUM(I200:J206,I120:J127,I80:J87,I40:J47)</f>
        <v>603</v>
      </c>
      <c r="AI253" s="762" t="s">
        <v>326</v>
      </c>
      <c r="AJ253" s="763"/>
      <c r="AK253" s="763"/>
      <c r="AL253" s="763"/>
      <c r="AM253" s="763"/>
      <c r="AN253" s="451">
        <f>SUM(I214:J220,I128:J135,I88:J95,I48:J55)</f>
        <v>331</v>
      </c>
    </row>
    <row r="254" spans="2:58" x14ac:dyDescent="0.3">
      <c r="K254"/>
    </row>
    <row r="255" spans="2:58" x14ac:dyDescent="0.3">
      <c r="K255"/>
    </row>
    <row r="256" spans="2:58" x14ac:dyDescent="0.3">
      <c r="K256"/>
    </row>
    <row r="258" spans="2:58" x14ac:dyDescent="0.3">
      <c r="K258"/>
    </row>
    <row r="259" spans="2:58" x14ac:dyDescent="0.3">
      <c r="K259"/>
    </row>
    <row r="260" spans="2:58" x14ac:dyDescent="0.3">
      <c r="K260"/>
    </row>
    <row r="261" spans="2:58" x14ac:dyDescent="0.3">
      <c r="K261"/>
    </row>
    <row r="262" spans="2:58" x14ac:dyDescent="0.3">
      <c r="K262"/>
    </row>
    <row r="263" spans="2:58" x14ac:dyDescent="0.3">
      <c r="K263"/>
    </row>
    <row r="264" spans="2:58" x14ac:dyDescent="0.3">
      <c r="K264"/>
    </row>
    <row r="265" spans="2:58" x14ac:dyDescent="0.3">
      <c r="K265"/>
    </row>
    <row r="266" spans="2:58" x14ac:dyDescent="0.3">
      <c r="K266"/>
    </row>
    <row r="267" spans="2:58" x14ac:dyDescent="0.3">
      <c r="K267"/>
    </row>
    <row r="268" spans="2:58" x14ac:dyDescent="0.3">
      <c r="K268"/>
    </row>
    <row r="269" spans="2:58" x14ac:dyDescent="0.3">
      <c r="K269"/>
    </row>
    <row r="270" spans="2:58" ht="29" customHeight="1" thickBot="1" x14ac:dyDescent="0.35">
      <c r="B270" s="548" t="s">
        <v>235</v>
      </c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49"/>
      <c r="AB270" s="549"/>
      <c r="AC270" s="549"/>
      <c r="AD270" s="549"/>
      <c r="AE270" s="549"/>
      <c r="AF270" s="549"/>
      <c r="AG270" s="549"/>
      <c r="AH270" s="549"/>
      <c r="AI270" s="549"/>
      <c r="AJ270" s="549"/>
      <c r="AK270" s="549"/>
      <c r="AL270" s="549"/>
      <c r="AM270" s="549"/>
      <c r="AN270" s="549"/>
      <c r="AO270" s="549"/>
      <c r="AP270" s="549"/>
      <c r="AQ270" s="549"/>
      <c r="AR270" s="549"/>
      <c r="AS270" s="549"/>
      <c r="AT270" s="549"/>
      <c r="AU270" s="549"/>
      <c r="AV270" s="549"/>
      <c r="AW270" s="549"/>
      <c r="AX270" s="549"/>
      <c r="AY270" s="549"/>
      <c r="AZ270" s="549"/>
      <c r="BA270" s="549"/>
      <c r="BB270" s="549"/>
      <c r="BC270" s="549"/>
      <c r="BD270" s="549"/>
      <c r="BE270" s="549"/>
      <c r="BF270" s="550"/>
    </row>
    <row r="271" spans="2:58" s="6" customFormat="1" ht="19.5" customHeight="1" x14ac:dyDescent="0.3">
      <c r="B271" s="719" t="s">
        <v>235</v>
      </c>
      <c r="C271" s="606" t="s">
        <v>149</v>
      </c>
      <c r="D271" s="607"/>
      <c r="E271" s="607"/>
      <c r="F271" s="607"/>
      <c r="G271" s="607"/>
      <c r="H271" s="607"/>
      <c r="I271" s="607"/>
      <c r="J271" s="608"/>
      <c r="K271" s="380">
        <f>IF(K155&lt;=5,840 + K230 - K137/1000,K141)</f>
        <v>440.18099999999998</v>
      </c>
      <c r="L271" s="371"/>
      <c r="M271" s="371"/>
      <c r="N271" s="372"/>
      <c r="O271" s="380">
        <f>IF(O155&lt;=5,840 + O230 - O137/1000,O141)</f>
        <v>1553.98</v>
      </c>
      <c r="P271" s="371"/>
      <c r="Q271" s="371"/>
      <c r="R271" s="372"/>
      <c r="S271" s="380">
        <f>IF(S155&lt;=5,840 + S230 - S137/1000,S141)</f>
        <v>1217.9739999999999</v>
      </c>
      <c r="T271" s="371"/>
      <c r="U271" s="371"/>
      <c r="V271" s="372"/>
      <c r="W271" s="380">
        <f>IF(W155&lt;=5,840 + W230 - W137/1000,W141)</f>
        <v>1511.9760000000001</v>
      </c>
      <c r="X271" s="371"/>
      <c r="Y271" s="371"/>
      <c r="Z271" s="372"/>
      <c r="AA271" s="380">
        <f>IF(AA155&lt;=5,840 + AA230 - AA137/1000,AA141)</f>
        <v>482.26499999999999</v>
      </c>
      <c r="AB271" s="371"/>
      <c r="AC271" s="371"/>
      <c r="AD271" s="372"/>
      <c r="AE271" s="380">
        <f>IF(AE155&lt;=5,840 + AE230 - AE137/1000,AE141)</f>
        <v>1301.979</v>
      </c>
      <c r="AF271" s="371"/>
      <c r="AG271" s="371"/>
      <c r="AH271" s="372"/>
      <c r="AI271" s="380">
        <f>IF(AI155&lt;=5,840 + AI230 - AI137/1000,AI141)</f>
        <v>1469.9770000000001</v>
      </c>
      <c r="AJ271" s="371"/>
      <c r="AK271" s="371"/>
      <c r="AL271" s="372"/>
      <c r="AM271" s="380">
        <f>IF(AM155&lt;=5,840 + AM230 - AM137/1000,AM141)</f>
        <v>587.22300000000007</v>
      </c>
      <c r="AN271" s="371"/>
      <c r="AO271" s="371"/>
      <c r="AP271" s="372"/>
      <c r="AQ271" s="380">
        <f>IF(AQ155&lt;=5,840 + AQ230 - AQ137/1000,AQ141)</f>
        <v>566.37</v>
      </c>
      <c r="AR271" s="371"/>
      <c r="AS271" s="371"/>
      <c r="AT271" s="372"/>
      <c r="AU271" s="380">
        <f>IF(AU155&lt;=5,840 + AU230 - AU137/1000,AU141)</f>
        <v>566.24399999999991</v>
      </c>
      <c r="AV271" s="371"/>
      <c r="AW271" s="371"/>
      <c r="AX271" s="372"/>
      <c r="AY271" s="380">
        <f>IF(AY155&lt;=5,840 + AY230 - AY137/1000,AY141)</f>
        <v>545.28600000000006</v>
      </c>
      <c r="AZ271" s="371"/>
      <c r="BA271" s="371"/>
      <c r="BB271" s="372"/>
      <c r="BC271" s="380">
        <f>IF(BC155&lt;=5,840 + BC230 - BC137/1000,BC141)</f>
        <v>461.30699999999996</v>
      </c>
      <c r="BD271" s="371"/>
      <c r="BE271" s="371"/>
      <c r="BF271" s="372"/>
    </row>
    <row r="272" spans="2:58" s="6" customFormat="1" ht="19.5" customHeight="1" x14ac:dyDescent="0.3">
      <c r="B272" s="720"/>
      <c r="C272" s="609" t="s">
        <v>150</v>
      </c>
      <c r="D272" s="610"/>
      <c r="E272" s="610"/>
      <c r="F272" s="610"/>
      <c r="G272" s="610"/>
      <c r="H272" s="610"/>
      <c r="I272" s="610"/>
      <c r="J272" s="611"/>
      <c r="K272" s="373"/>
      <c r="L272" s="374">
        <f>IF(K156&lt;=6,840 + L231,L142)</f>
        <v>967.5</v>
      </c>
      <c r="M272" s="375"/>
      <c r="N272" s="376"/>
      <c r="O272" s="373"/>
      <c r="P272" s="374">
        <f>IF(O156&lt;=6,840 + P231,P142)</f>
        <v>709.1274085057139</v>
      </c>
      <c r="Q272" s="375"/>
      <c r="R272" s="376"/>
      <c r="S272" s="373"/>
      <c r="T272" s="374">
        <f>IF(S156&lt;=6,840 + T231,T142)</f>
        <v>1200.5853658536585</v>
      </c>
      <c r="U272" s="375"/>
      <c r="V272" s="376"/>
      <c r="W272" s="373"/>
      <c r="X272" s="374">
        <f>IF(W156&lt;=6,840 + X231,X142)</f>
        <v>1545.3846153846152</v>
      </c>
      <c r="Y272" s="375"/>
      <c r="Z272" s="376"/>
      <c r="AA272" s="373"/>
      <c r="AB272" s="374">
        <f>IF(AA156&lt;=6,840 + AB231,AB142)</f>
        <v>1680</v>
      </c>
      <c r="AC272" s="375"/>
      <c r="AD272" s="376"/>
      <c r="AE272" s="373"/>
      <c r="AF272" s="374">
        <f>IF(AE156&lt;=6,840 + AF231,AF142)</f>
        <v>1260</v>
      </c>
      <c r="AG272" s="375"/>
      <c r="AH272" s="376"/>
      <c r="AI272" s="373"/>
      <c r="AJ272" s="374">
        <f>IF(AI156&lt;=6,840 + AJ231,AJ142)</f>
        <v>980</v>
      </c>
      <c r="AK272" s="375"/>
      <c r="AL272" s="376"/>
      <c r="AM272" s="373"/>
      <c r="AN272" s="374">
        <f>IF(AM156&lt;=6,840 + AN231,AN142)</f>
        <v>682.954496912595</v>
      </c>
      <c r="AO272" s="375"/>
      <c r="AP272" s="376"/>
      <c r="AQ272" s="373"/>
      <c r="AR272" s="374">
        <f>IF(AQ156&lt;=6,840 + AR231,AR142)</f>
        <v>697.07730146265874</v>
      </c>
      <c r="AS272" s="375"/>
      <c r="AT272" s="376"/>
      <c r="AU272" s="373"/>
      <c r="AV272" s="374">
        <f>IF(AU156&lt;=6,840 + AV231,AV142)</f>
        <v>728.74638279518967</v>
      </c>
      <c r="AW272" s="375"/>
      <c r="AX272" s="376"/>
      <c r="AY272" s="373"/>
      <c r="AZ272" s="374">
        <f>IF(AY156&lt;=6,840 + AZ231,AZ142)</f>
        <v>689.51989408851637</v>
      </c>
      <c r="BA272" s="375"/>
      <c r="BB272" s="376"/>
      <c r="BC272" s="373"/>
      <c r="BD272" s="374">
        <f>IF(BC156&lt;=6,840 + BD231,BD142)</f>
        <v>757.54988733063192</v>
      </c>
      <c r="BE272" s="375"/>
      <c r="BF272" s="376"/>
    </row>
    <row r="273" spans="2:58" s="6" customFormat="1" ht="19.5" customHeight="1" x14ac:dyDescent="0.3">
      <c r="B273" s="720"/>
      <c r="C273" s="505" t="s">
        <v>151</v>
      </c>
      <c r="D273" s="506"/>
      <c r="E273" s="506"/>
      <c r="F273" s="506"/>
      <c r="G273" s="506"/>
      <c r="H273" s="506"/>
      <c r="I273" s="506"/>
      <c r="J273" s="507"/>
      <c r="K273" s="373"/>
      <c r="L273" s="375"/>
      <c r="M273" s="377">
        <f>IF(K157&lt;=6,840 + M232 - M137/1000,M143)</f>
        <v>404.32499999999999</v>
      </c>
      <c r="N273" s="376"/>
      <c r="O273" s="373"/>
      <c r="P273" s="375"/>
      <c r="Q273" s="377">
        <f>IF(O157&lt;=6,840 + Q232 - Q137/1000,Q143)</f>
        <v>1679.9739999999999</v>
      </c>
      <c r="R273" s="376"/>
      <c r="S273" s="373"/>
      <c r="T273" s="375"/>
      <c r="U273" s="377">
        <f>IF(S157&lt;=6,840 + U232 - U137/1000,U143)</f>
        <v>1609.9849999999999</v>
      </c>
      <c r="V273" s="376"/>
      <c r="W273" s="373"/>
      <c r="X273" s="375"/>
      <c r="Y273" s="377">
        <f>IF(W157&lt;=6,840 + Y232 - Y137/1000,Y143)</f>
        <v>1119.9649999999999</v>
      </c>
      <c r="Z273" s="376"/>
      <c r="AA273" s="373"/>
      <c r="AB273" s="375"/>
      <c r="AC273" s="377">
        <f>IF(AA157&lt;=6,840 + AC232 - AC137/1000,AC143)</f>
        <v>629.41499999999996</v>
      </c>
      <c r="AD273" s="376"/>
      <c r="AE273" s="373"/>
      <c r="AF273" s="375"/>
      <c r="AG273" s="377">
        <f>IF(AE157&lt;=6,840 + AG232 - AG137/1000,AG143)</f>
        <v>1189.9639999999999</v>
      </c>
      <c r="AH273" s="376"/>
      <c r="AI273" s="373"/>
      <c r="AJ273" s="375"/>
      <c r="AK273" s="377">
        <f>IF(AI157&lt;=6,840 + AK232 - AK137/1000,AK143)</f>
        <v>509.35500000000002</v>
      </c>
      <c r="AL273" s="376"/>
      <c r="AM273" s="373"/>
      <c r="AN273" s="375"/>
      <c r="AO273" s="377">
        <f>IF(AM157&lt;=6,840 + AO232 - AO137/1000,AO143)</f>
        <v>979.96799999999996</v>
      </c>
      <c r="AP273" s="376"/>
      <c r="AQ273" s="373"/>
      <c r="AR273" s="375"/>
      <c r="AS273" s="377">
        <f>IF(AQ157&lt;=6,840 + AS232 - AS137/1000,AS143)</f>
        <v>895.95</v>
      </c>
      <c r="AT273" s="376"/>
      <c r="AU273" s="373"/>
      <c r="AV273" s="375"/>
      <c r="AW273" s="377">
        <f>IF(AU157&lt;=6,840 + AW232 - AW137/1000,AW143)</f>
        <v>269.15999999999997</v>
      </c>
      <c r="AX273" s="376"/>
      <c r="AY273" s="373"/>
      <c r="AZ273" s="375"/>
      <c r="BA273" s="377">
        <f>IF(AY157&lt;=6,840 + BA232 - BA137/1000,BA143)</f>
        <v>524.26499999999999</v>
      </c>
      <c r="BB273" s="376"/>
      <c r="BC273" s="373"/>
      <c r="BD273" s="375"/>
      <c r="BE273" s="377">
        <f>IF(BC157&lt;=6,840 + BE232 - BE137/1000,BE143)</f>
        <v>344.15999999999997</v>
      </c>
      <c r="BF273" s="376"/>
    </row>
    <row r="274" spans="2:58" s="6" customFormat="1" ht="19.5" customHeight="1" thickBot="1" x14ac:dyDescent="0.35">
      <c r="B274" s="720"/>
      <c r="C274" s="505" t="s">
        <v>323</v>
      </c>
      <c r="D274" s="506"/>
      <c r="E274" s="506"/>
      <c r="F274" s="506"/>
      <c r="G274" s="506"/>
      <c r="H274" s="506"/>
      <c r="I274" s="506"/>
      <c r="J274" s="507"/>
      <c r="K274" s="378"/>
      <c r="L274" s="379"/>
      <c r="M274" s="379"/>
      <c r="N274" s="392">
        <f>IF(K158&lt;=6,840 + N233 - N138/1000,N144)</f>
        <v>979.97702000000004</v>
      </c>
      <c r="O274" s="378"/>
      <c r="P274" s="379"/>
      <c r="Q274" s="379"/>
      <c r="R274" s="392">
        <f>IF(O158&lt;=6,840 + R233 - R138/1000,R144)</f>
        <v>569.4</v>
      </c>
      <c r="S274" s="378"/>
      <c r="T274" s="379"/>
      <c r="U274" s="379"/>
      <c r="V274" s="392">
        <f>IF(S158&lt;=6,840 + V233 - V138/1000,V144)</f>
        <v>1679.9760200000001</v>
      </c>
      <c r="W274" s="378"/>
      <c r="X274" s="379"/>
      <c r="Y274" s="379"/>
      <c r="Z274" s="392">
        <f>IF(W158&lt;=6,840 + Z233 - Z138/1000,Z144)</f>
        <v>629.28</v>
      </c>
      <c r="AA274" s="378"/>
      <c r="AB274" s="379"/>
      <c r="AC274" s="379"/>
      <c r="AD274" s="392">
        <f>IF(AA158&lt;=6,840 + AD233 - AD138/1000,AD144)</f>
        <v>479.15999999999997</v>
      </c>
      <c r="AE274" s="378"/>
      <c r="AF274" s="379"/>
      <c r="AG274" s="379"/>
      <c r="AH274" s="392">
        <f>IF(AE158&lt;=6,840 + AH233 - AH138/1000,AH144)</f>
        <v>895.97702000000004</v>
      </c>
      <c r="AI274" s="378"/>
      <c r="AJ274" s="379"/>
      <c r="AK274" s="379"/>
      <c r="AL274" s="392">
        <f>IF(AI158&lt;=6,840 + AL233 - AL138/1000,AL144)</f>
        <v>569.28</v>
      </c>
      <c r="AM274" s="378"/>
      <c r="AN274" s="379"/>
      <c r="AO274" s="379"/>
      <c r="AP274" s="392">
        <f>IF(AM158&lt;=6,840 + AP233 - AP138/1000,AP144)</f>
        <v>1259.9730159999999</v>
      </c>
      <c r="AQ274" s="378"/>
      <c r="AR274" s="379"/>
      <c r="AS274" s="379"/>
      <c r="AT274" s="392">
        <f>IF(AQ158&lt;=6,840 + AT233 - AT138/1000,AT144)</f>
        <v>689.34</v>
      </c>
      <c r="AU274" s="378"/>
      <c r="AV274" s="379"/>
      <c r="AW274" s="379"/>
      <c r="AX274" s="392">
        <f>IF(AU158&lt;=6,840 + AX233 - AX138/1000,AX144)</f>
        <v>1483.974023</v>
      </c>
      <c r="AY274" s="378"/>
      <c r="AZ274" s="379"/>
      <c r="BA274" s="379"/>
      <c r="BB274" s="392">
        <f>IF(AY158&lt;=6,840 + BB233 - BB138/1000,BB144)</f>
        <v>1199.974017</v>
      </c>
      <c r="BC274" s="378"/>
      <c r="BD274" s="379"/>
      <c r="BE274" s="379"/>
      <c r="BF274" s="392">
        <f>IF(BC158&lt;=6,840 + BF233 - BF138/1000,BF144)</f>
        <v>449.15999999999997</v>
      </c>
    </row>
    <row r="275" spans="2:58" ht="22.5" customHeight="1" thickBot="1" x14ac:dyDescent="0.35">
      <c r="B275" s="720"/>
      <c r="C275" s="612" t="s">
        <v>155</v>
      </c>
      <c r="D275" s="613"/>
      <c r="E275" s="613"/>
      <c r="F275" s="613"/>
      <c r="G275" s="613"/>
      <c r="H275" s="613"/>
      <c r="I275" s="613"/>
      <c r="J275" s="614"/>
      <c r="K275" s="511">
        <f t="shared" ref="K275" si="243">K271+L272+M273+N274</f>
        <v>2791.9830200000001</v>
      </c>
      <c r="L275" s="488"/>
      <c r="M275" s="488"/>
      <c r="N275" s="489"/>
      <c r="O275" s="487">
        <f t="shared" ref="O275" si="244">O271+P272+Q273+R274</f>
        <v>4512.4814085057133</v>
      </c>
      <c r="P275" s="488"/>
      <c r="Q275" s="488"/>
      <c r="R275" s="489"/>
      <c r="S275" s="487">
        <f t="shared" ref="S275" si="245">S271+T272+U273+V274</f>
        <v>5708.5203858536579</v>
      </c>
      <c r="T275" s="488"/>
      <c r="U275" s="488"/>
      <c r="V275" s="489"/>
      <c r="W275" s="487">
        <f t="shared" ref="W275" si="246">W271+X272+Y273+Z274</f>
        <v>4806.6056153846148</v>
      </c>
      <c r="X275" s="488"/>
      <c r="Y275" s="488"/>
      <c r="Z275" s="489"/>
      <c r="AA275" s="487">
        <f t="shared" ref="AA275" si="247">AA271+AB272+AC273+AD274</f>
        <v>3270.8399999999997</v>
      </c>
      <c r="AB275" s="488"/>
      <c r="AC275" s="488"/>
      <c r="AD275" s="489"/>
      <c r="AE275" s="487">
        <f t="shared" ref="AE275" si="248">AE271+AF272+AG273+AH274</f>
        <v>4647.9200200000005</v>
      </c>
      <c r="AF275" s="488"/>
      <c r="AG275" s="488"/>
      <c r="AH275" s="489"/>
      <c r="AI275" s="487">
        <f t="shared" ref="AI275" si="249">AI271+AJ272+AK273+AL274</f>
        <v>3528.6120000000001</v>
      </c>
      <c r="AJ275" s="488"/>
      <c r="AK275" s="488"/>
      <c r="AL275" s="489"/>
      <c r="AM275" s="487">
        <f t="shared" ref="AM275" si="250">AM271+AN272+AO273+AP274</f>
        <v>3510.1185129125947</v>
      </c>
      <c r="AN275" s="488"/>
      <c r="AO275" s="488"/>
      <c r="AP275" s="489"/>
      <c r="AQ275" s="487">
        <f t="shared" ref="AQ275" si="251">AQ271+AR272+AS273+AT274</f>
        <v>2848.7373014626592</v>
      </c>
      <c r="AR275" s="488"/>
      <c r="AS275" s="488"/>
      <c r="AT275" s="489"/>
      <c r="AU275" s="487">
        <f t="shared" ref="AU275" si="252">AU271+AV272+AW273+AX274</f>
        <v>3048.1244057951899</v>
      </c>
      <c r="AV275" s="488"/>
      <c r="AW275" s="488"/>
      <c r="AX275" s="489"/>
      <c r="AY275" s="487">
        <f t="shared" ref="AY275" si="253">AY271+AZ272+BA273+BB274</f>
        <v>2959.0449110885165</v>
      </c>
      <c r="AZ275" s="488"/>
      <c r="BA275" s="488"/>
      <c r="BB275" s="489"/>
      <c r="BC275" s="498">
        <f>BC271+BD272+BE273+BF274</f>
        <v>2012.1768873306319</v>
      </c>
      <c r="BD275" s="499"/>
      <c r="BE275" s="499"/>
      <c r="BF275" s="499"/>
    </row>
    <row r="276" spans="2:58" x14ac:dyDescent="0.3">
      <c r="B276" s="720"/>
      <c r="C276" s="5"/>
      <c r="D276" s="5"/>
      <c r="E276" s="5"/>
      <c r="F276" s="5"/>
      <c r="G276" s="5"/>
      <c r="H276" s="5"/>
      <c r="I276" s="5"/>
      <c r="J276" s="5"/>
      <c r="K276"/>
    </row>
    <row r="277" spans="2:58" x14ac:dyDescent="0.3">
      <c r="B277" s="720"/>
      <c r="C277" s="5"/>
      <c r="D277" s="5"/>
      <c r="E277" s="5"/>
      <c r="F277" s="5"/>
      <c r="G277" s="5"/>
      <c r="H277" s="5"/>
      <c r="I277" s="5"/>
      <c r="J277" s="5"/>
      <c r="K277"/>
    </row>
    <row r="278" spans="2:58" ht="17.5" x14ac:dyDescent="0.3">
      <c r="B278" s="720"/>
      <c r="C278" s="615" t="s">
        <v>144</v>
      </c>
      <c r="D278" s="616"/>
      <c r="E278" s="616"/>
      <c r="F278" s="616"/>
      <c r="G278" s="616"/>
      <c r="H278" s="616"/>
      <c r="I278" s="616"/>
      <c r="J278" s="617"/>
      <c r="K278" s="381">
        <f>K271/2520</f>
        <v>0.174675</v>
      </c>
      <c r="L278" s="382"/>
      <c r="M278" s="382"/>
      <c r="N278" s="383"/>
      <c r="O278" s="381">
        <f>O271/2520</f>
        <v>0.61665873015873018</v>
      </c>
      <c r="P278" s="382"/>
      <c r="Q278" s="382"/>
      <c r="R278" s="383"/>
      <c r="S278" s="381">
        <f>S271/2520</f>
        <v>0.48332301587301585</v>
      </c>
      <c r="T278" s="382"/>
      <c r="U278" s="382"/>
      <c r="V278" s="383"/>
      <c r="W278" s="381">
        <f>W271/2520</f>
        <v>0.59999047619047619</v>
      </c>
      <c r="X278" s="382"/>
      <c r="Y278" s="382"/>
      <c r="Z278" s="382"/>
      <c r="AA278" s="391">
        <f>AA271/2520</f>
        <v>0.19137499999999999</v>
      </c>
      <c r="AB278" s="382"/>
      <c r="AC278" s="382"/>
      <c r="AD278" s="383"/>
      <c r="AE278" s="381">
        <f>AE271/2520</f>
        <v>0.51665833333333333</v>
      </c>
      <c r="AF278" s="382"/>
      <c r="AG278" s="382"/>
      <c r="AH278" s="383"/>
      <c r="AI278" s="381">
        <f>AI271/2520</f>
        <v>0.58332420634920634</v>
      </c>
      <c r="AJ278" s="382"/>
      <c r="AK278" s="382"/>
      <c r="AL278" s="383"/>
      <c r="AM278" s="381">
        <f>AM271/2520</f>
        <v>0.23302500000000004</v>
      </c>
      <c r="AN278" s="382"/>
      <c r="AO278" s="382"/>
      <c r="AP278" s="383"/>
      <c r="AQ278" s="381">
        <f>AQ271/2520</f>
        <v>0.22475000000000001</v>
      </c>
      <c r="AR278" s="382"/>
      <c r="AS278" s="382"/>
      <c r="AT278" s="383"/>
      <c r="AU278" s="381">
        <f>AU271/2520</f>
        <v>0.22469999999999996</v>
      </c>
      <c r="AV278" s="382"/>
      <c r="AW278" s="382"/>
      <c r="AX278" s="383"/>
      <c r="AY278" s="381">
        <f>AY271/2520</f>
        <v>0.21638333333333334</v>
      </c>
      <c r="AZ278" s="382"/>
      <c r="BA278" s="382"/>
      <c r="BB278" s="383"/>
      <c r="BC278" s="381">
        <f>BC271/2520</f>
        <v>0.18305833333333332</v>
      </c>
      <c r="BD278" s="382"/>
      <c r="BE278" s="382"/>
      <c r="BF278" s="383"/>
    </row>
    <row r="279" spans="2:58" ht="17.5" x14ac:dyDescent="0.3">
      <c r="B279" s="720"/>
      <c r="C279" s="618" t="s">
        <v>145</v>
      </c>
      <c r="D279" s="619"/>
      <c r="E279" s="619"/>
      <c r="F279" s="619"/>
      <c r="G279" s="619"/>
      <c r="H279" s="619"/>
      <c r="I279" s="619"/>
      <c r="J279" s="620"/>
      <c r="K279" s="384"/>
      <c r="L279" s="385">
        <f>L272/2520</f>
        <v>0.38392857142857145</v>
      </c>
      <c r="M279" s="386"/>
      <c r="N279" s="387"/>
      <c r="O279" s="384"/>
      <c r="P279" s="385">
        <f>P272/2520</f>
        <v>0.28139976528004518</v>
      </c>
      <c r="Q279" s="386"/>
      <c r="R279" s="387"/>
      <c r="S279" s="384"/>
      <c r="T279" s="385">
        <f>T272/2520</f>
        <v>0.47642276422764224</v>
      </c>
      <c r="U279" s="386"/>
      <c r="V279" s="387"/>
      <c r="W279" s="384"/>
      <c r="X279" s="385">
        <f>X272/2520</f>
        <v>0.61324786324786318</v>
      </c>
      <c r="Y279" s="386"/>
      <c r="Z279" s="387"/>
      <c r="AA279" s="386"/>
      <c r="AB279" s="385">
        <f>AB272/2520</f>
        <v>0.66666666666666663</v>
      </c>
      <c r="AC279" s="386"/>
      <c r="AD279" s="387"/>
      <c r="AE279" s="384"/>
      <c r="AF279" s="385">
        <f>AF272/2520</f>
        <v>0.5</v>
      </c>
      <c r="AG279" s="386"/>
      <c r="AH279" s="387"/>
      <c r="AI279" s="384"/>
      <c r="AJ279" s="385">
        <f>AJ272/2520</f>
        <v>0.3888888888888889</v>
      </c>
      <c r="AK279" s="386"/>
      <c r="AL279" s="387"/>
      <c r="AM279" s="384"/>
      <c r="AN279" s="385">
        <f>AN272/2520</f>
        <v>0.27101368925102975</v>
      </c>
      <c r="AO279" s="386"/>
      <c r="AP279" s="387"/>
      <c r="AQ279" s="384"/>
      <c r="AR279" s="385">
        <f>AR272/2520</f>
        <v>0.27661797677089633</v>
      </c>
      <c r="AS279" s="386"/>
      <c r="AT279" s="387"/>
      <c r="AU279" s="384"/>
      <c r="AV279" s="385">
        <f>AV272/2520</f>
        <v>0.2891850725377737</v>
      </c>
      <c r="AW279" s="386"/>
      <c r="AX279" s="387"/>
      <c r="AY279" s="384"/>
      <c r="AZ279" s="385">
        <f>AZ272/2520</f>
        <v>0.27361900559068109</v>
      </c>
      <c r="BA279" s="386"/>
      <c r="BB279" s="387"/>
      <c r="BC279" s="384"/>
      <c r="BD279" s="385">
        <f>BD272/2520</f>
        <v>0.30061503465501266</v>
      </c>
      <c r="BE279" s="386"/>
      <c r="BF279" s="387"/>
    </row>
    <row r="280" spans="2:58" ht="17.5" x14ac:dyDescent="0.3">
      <c r="B280" s="720"/>
      <c r="C280" s="508" t="s">
        <v>146</v>
      </c>
      <c r="D280" s="509"/>
      <c r="E280" s="509"/>
      <c r="F280" s="509"/>
      <c r="G280" s="509"/>
      <c r="H280" s="509"/>
      <c r="I280" s="509"/>
      <c r="J280" s="510"/>
      <c r="K280" s="384"/>
      <c r="L280" s="386"/>
      <c r="M280" s="388">
        <f>M273/2520</f>
        <v>0.16044642857142857</v>
      </c>
      <c r="N280" s="376"/>
      <c r="O280" s="384"/>
      <c r="P280" s="386"/>
      <c r="Q280" s="388">
        <f>Q273/2520</f>
        <v>0.6666563492063492</v>
      </c>
      <c r="R280" s="376"/>
      <c r="S280" s="384"/>
      <c r="T280" s="386"/>
      <c r="U280" s="388">
        <f>U273/2520</f>
        <v>0.63888293650793648</v>
      </c>
      <c r="V280" s="376"/>
      <c r="W280" s="384"/>
      <c r="X280" s="386"/>
      <c r="Y280" s="388">
        <f>Y273/2520</f>
        <v>0.4444305555555555</v>
      </c>
      <c r="Z280" s="376"/>
      <c r="AA280" s="386"/>
      <c r="AB280" s="386"/>
      <c r="AC280" s="388">
        <f>AC273/2520</f>
        <v>0.24976785714285712</v>
      </c>
      <c r="AD280" s="376"/>
      <c r="AE280" s="384"/>
      <c r="AF280" s="386"/>
      <c r="AG280" s="388">
        <f>AG273/2520</f>
        <v>0.47220793650793647</v>
      </c>
      <c r="AH280" s="376"/>
      <c r="AI280" s="384"/>
      <c r="AJ280" s="386"/>
      <c r="AK280" s="388">
        <f>AK273/2520</f>
        <v>0.202125</v>
      </c>
      <c r="AL280" s="376"/>
      <c r="AM280" s="384"/>
      <c r="AN280" s="386"/>
      <c r="AO280" s="388">
        <f>AO273/2520</f>
        <v>0.38887619047619049</v>
      </c>
      <c r="AP280" s="376"/>
      <c r="AQ280" s="384"/>
      <c r="AR280" s="386"/>
      <c r="AS280" s="388">
        <f>AS273/2520</f>
        <v>0.35553571428571429</v>
      </c>
      <c r="AT280" s="376"/>
      <c r="AU280" s="384"/>
      <c r="AV280" s="386"/>
      <c r="AW280" s="388">
        <f>AW273/2520</f>
        <v>0.1068095238095238</v>
      </c>
      <c r="AX280" s="376"/>
      <c r="AY280" s="384"/>
      <c r="AZ280" s="386"/>
      <c r="BA280" s="388">
        <f>BA273/2520</f>
        <v>0.20804166666666665</v>
      </c>
      <c r="BB280" s="376"/>
      <c r="BC280" s="384"/>
      <c r="BD280" s="386"/>
      <c r="BE280" s="388">
        <f>BE273/2520</f>
        <v>0.13657142857142857</v>
      </c>
      <c r="BF280" s="376"/>
    </row>
    <row r="281" spans="2:58" ht="17.5" x14ac:dyDescent="0.3">
      <c r="B281" s="720"/>
      <c r="C281" s="508" t="s">
        <v>318</v>
      </c>
      <c r="D281" s="509"/>
      <c r="E281" s="509"/>
      <c r="F281" s="509"/>
      <c r="G281" s="509"/>
      <c r="H281" s="509"/>
      <c r="I281" s="509"/>
      <c r="J281" s="510"/>
      <c r="K281" s="389"/>
      <c r="L281" s="390"/>
      <c r="M281" s="379"/>
      <c r="N281" s="393">
        <f>N274/2520</f>
        <v>0.38887976984126987</v>
      </c>
      <c r="O281" s="389"/>
      <c r="P281" s="390"/>
      <c r="Q281" s="379"/>
      <c r="R281" s="393">
        <f>R274/2520</f>
        <v>0.22595238095238093</v>
      </c>
      <c r="S281" s="389"/>
      <c r="T281" s="390"/>
      <c r="U281" s="379"/>
      <c r="V281" s="393">
        <f>V274/2520</f>
        <v>0.66665715079365084</v>
      </c>
      <c r="W281" s="389"/>
      <c r="X281" s="390"/>
      <c r="Y281" s="379"/>
      <c r="Z281" s="393">
        <f>Z274/2520</f>
        <v>0.24971428571428569</v>
      </c>
      <c r="AA281" s="390"/>
      <c r="AB281" s="390"/>
      <c r="AC281" s="379"/>
      <c r="AD281" s="393">
        <f>AD274/2520</f>
        <v>0.19014285714285714</v>
      </c>
      <c r="AE281" s="389"/>
      <c r="AF281" s="390"/>
      <c r="AG281" s="379"/>
      <c r="AH281" s="393">
        <f>AH274/2520</f>
        <v>0.35554643650793655</v>
      </c>
      <c r="AI281" s="389"/>
      <c r="AJ281" s="390"/>
      <c r="AK281" s="379"/>
      <c r="AL281" s="393">
        <f>AL274/2520</f>
        <v>0.22590476190476189</v>
      </c>
      <c r="AM281" s="389"/>
      <c r="AN281" s="390"/>
      <c r="AO281" s="379"/>
      <c r="AP281" s="393">
        <f>AP274/2520</f>
        <v>0.49998929206349202</v>
      </c>
      <c r="AQ281" s="389"/>
      <c r="AR281" s="390"/>
      <c r="AS281" s="379"/>
      <c r="AT281" s="393">
        <f>AT274/2520</f>
        <v>0.27354761904761904</v>
      </c>
      <c r="AU281" s="389"/>
      <c r="AV281" s="390"/>
      <c r="AW281" s="379"/>
      <c r="AX281" s="393">
        <f>AX274/2520</f>
        <v>0.58887858055555553</v>
      </c>
      <c r="AY281" s="389"/>
      <c r="AZ281" s="390"/>
      <c r="BA281" s="379"/>
      <c r="BB281" s="393">
        <f>BB274/2520</f>
        <v>0.47618016547619046</v>
      </c>
      <c r="BC281" s="389"/>
      <c r="BD281" s="390"/>
      <c r="BE281" s="379"/>
      <c r="BF281" s="393">
        <f>BF274/2520</f>
        <v>0.17823809523809522</v>
      </c>
    </row>
    <row r="282" spans="2:58" ht="17.5" x14ac:dyDescent="0.3">
      <c r="B282" s="720"/>
      <c r="C282" s="648" t="s">
        <v>147</v>
      </c>
      <c r="D282" s="649"/>
      <c r="E282" s="649"/>
      <c r="F282" s="649"/>
      <c r="G282" s="649"/>
      <c r="H282" s="649"/>
      <c r="I282" s="649"/>
      <c r="J282" s="650"/>
      <c r="K282" s="694">
        <f>K275/10080</f>
        <v>0.27698244246031745</v>
      </c>
      <c r="L282" s="491"/>
      <c r="M282" s="491"/>
      <c r="N282" s="492"/>
      <c r="O282" s="490">
        <f>O275/10080</f>
        <v>0.44766680639937634</v>
      </c>
      <c r="P282" s="491"/>
      <c r="Q282" s="491"/>
      <c r="R282" s="492"/>
      <c r="S282" s="490">
        <f>S275/10080</f>
        <v>0.56632146685056128</v>
      </c>
      <c r="T282" s="491"/>
      <c r="U282" s="491"/>
      <c r="V282" s="492"/>
      <c r="W282" s="490">
        <f>W275/10080</f>
        <v>0.47684579517704512</v>
      </c>
      <c r="X282" s="491"/>
      <c r="Y282" s="491"/>
      <c r="Z282" s="492"/>
      <c r="AA282" s="490">
        <f>AA275/10080</f>
        <v>0.32448809523809519</v>
      </c>
      <c r="AB282" s="491"/>
      <c r="AC282" s="491"/>
      <c r="AD282" s="492"/>
      <c r="AE282" s="490">
        <f>AE275/10080</f>
        <v>0.46110317658730166</v>
      </c>
      <c r="AF282" s="491"/>
      <c r="AG282" s="491"/>
      <c r="AH282" s="492"/>
      <c r="AI282" s="490">
        <f>AI275/10080</f>
        <v>0.35006071428571428</v>
      </c>
      <c r="AJ282" s="491"/>
      <c r="AK282" s="491"/>
      <c r="AL282" s="492"/>
      <c r="AM282" s="490">
        <f>AM275/10080</f>
        <v>0.34822604294767806</v>
      </c>
      <c r="AN282" s="491"/>
      <c r="AO282" s="491"/>
      <c r="AP282" s="492"/>
      <c r="AQ282" s="490">
        <f>AQ275/10080</f>
        <v>0.28261282752605743</v>
      </c>
      <c r="AR282" s="491"/>
      <c r="AS282" s="491"/>
      <c r="AT282" s="492"/>
      <c r="AU282" s="490">
        <f>AU275/10080</f>
        <v>0.30239329422571326</v>
      </c>
      <c r="AV282" s="491"/>
      <c r="AW282" s="491"/>
      <c r="AX282" s="492"/>
      <c r="AY282" s="490">
        <f>AY275/10080</f>
        <v>0.29355604276671793</v>
      </c>
      <c r="AZ282" s="491"/>
      <c r="BA282" s="491"/>
      <c r="BB282" s="492"/>
      <c r="BC282" s="500">
        <f>BC275/10080</f>
        <v>0.19962072294946745</v>
      </c>
      <c r="BD282" s="501"/>
      <c r="BE282" s="501"/>
      <c r="BF282" s="501"/>
    </row>
    <row r="283" spans="2:58" x14ac:dyDescent="0.3">
      <c r="B283" s="720"/>
      <c r="C283" s="5"/>
      <c r="D283" s="5"/>
      <c r="E283" s="5"/>
      <c r="F283" s="5"/>
      <c r="G283" s="5"/>
      <c r="H283" s="5"/>
      <c r="I283" s="5"/>
      <c r="J283" s="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2:58" x14ac:dyDescent="0.3">
      <c r="B284" s="720"/>
      <c r="C284" s="5"/>
      <c r="D284" s="5"/>
      <c r="E284" s="5"/>
      <c r="F284" s="5"/>
      <c r="G284" s="5"/>
      <c r="H284" s="5"/>
      <c r="I284" s="5"/>
      <c r="J284" s="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2:58" ht="17.5" x14ac:dyDescent="0.3">
      <c r="B285" s="720"/>
      <c r="C285" s="615" t="s">
        <v>157</v>
      </c>
      <c r="D285" s="616"/>
      <c r="E285" s="616"/>
      <c r="F285" s="616"/>
      <c r="G285" s="616"/>
      <c r="H285" s="616"/>
      <c r="I285" s="616"/>
      <c r="J285" s="617"/>
      <c r="K285" s="494">
        <f>RANK(K271,$K271:$BF271)</f>
        <v>12</v>
      </c>
      <c r="L285" s="464"/>
      <c r="M285" s="464"/>
      <c r="N285" s="465"/>
      <c r="O285" s="463">
        <f>RANK(O271,$K271:$BF271)</f>
        <v>1</v>
      </c>
      <c r="P285" s="464"/>
      <c r="Q285" s="464"/>
      <c r="R285" s="465"/>
      <c r="S285" s="463">
        <f t="shared" ref="S285" si="254">RANK(S271,$K271:$BF271)</f>
        <v>5</v>
      </c>
      <c r="T285" s="464"/>
      <c r="U285" s="464"/>
      <c r="V285" s="465"/>
      <c r="W285" s="463">
        <f t="shared" ref="W285" si="255">RANK(W271,$K271:$BF271)</f>
        <v>2</v>
      </c>
      <c r="X285" s="464"/>
      <c r="Y285" s="464"/>
      <c r="Z285" s="465"/>
      <c r="AA285" s="463">
        <f t="shared" ref="AA285" si="256">RANK(AA271,$K271:$BF271)</f>
        <v>10</v>
      </c>
      <c r="AB285" s="464"/>
      <c r="AC285" s="464"/>
      <c r="AD285" s="465"/>
      <c r="AE285" s="463">
        <f t="shared" ref="AE285" si="257">RANK(AE271,$K271:$BF271)</f>
        <v>4</v>
      </c>
      <c r="AF285" s="464"/>
      <c r="AG285" s="464"/>
      <c r="AH285" s="465"/>
      <c r="AI285" s="463">
        <f t="shared" ref="AI285" si="258">RANK(AI271,$K271:$BF271)</f>
        <v>3</v>
      </c>
      <c r="AJ285" s="464"/>
      <c r="AK285" s="464"/>
      <c r="AL285" s="465"/>
      <c r="AM285" s="463">
        <f t="shared" ref="AM285" si="259">RANK(AM271,$K271:$BF271)</f>
        <v>6</v>
      </c>
      <c r="AN285" s="464"/>
      <c r="AO285" s="464"/>
      <c r="AP285" s="465"/>
      <c r="AQ285" s="463">
        <f t="shared" ref="AQ285" si="260">RANK(AQ271,$K271:$BF271)</f>
        <v>7</v>
      </c>
      <c r="AR285" s="464"/>
      <c r="AS285" s="464"/>
      <c r="AT285" s="465"/>
      <c r="AU285" s="463">
        <f t="shared" ref="AU285" si="261">RANK(AU271,$K271:$BF271)</f>
        <v>8</v>
      </c>
      <c r="AV285" s="464"/>
      <c r="AW285" s="464"/>
      <c r="AX285" s="465"/>
      <c r="AY285" s="463">
        <f t="shared" ref="AY285" si="262">RANK(AY271,$K271:$BF271)</f>
        <v>9</v>
      </c>
      <c r="AZ285" s="464"/>
      <c r="BA285" s="464"/>
      <c r="BB285" s="465"/>
      <c r="BC285" s="463">
        <f>RANK(BC271,$K271:$BF271)</f>
        <v>11</v>
      </c>
      <c r="BD285" s="464"/>
      <c r="BE285" s="464"/>
      <c r="BF285" s="465"/>
    </row>
    <row r="286" spans="2:58" ht="17.5" x14ac:dyDescent="0.3">
      <c r="B286" s="720"/>
      <c r="C286" s="618" t="s">
        <v>158</v>
      </c>
      <c r="D286" s="619"/>
      <c r="E286" s="619"/>
      <c r="F286" s="619"/>
      <c r="G286" s="619"/>
      <c r="H286" s="619"/>
      <c r="I286" s="619"/>
      <c r="J286" s="620"/>
      <c r="K286" s="495">
        <f t="shared" ref="K286" si="263">RANK(L272,$K272:$BF272)</f>
        <v>6</v>
      </c>
      <c r="L286" s="467"/>
      <c r="M286" s="467"/>
      <c r="N286" s="468"/>
      <c r="O286" s="466">
        <f t="shared" ref="O286" si="264">RANK(P272,$K272:$BF272)</f>
        <v>9</v>
      </c>
      <c r="P286" s="467"/>
      <c r="Q286" s="467"/>
      <c r="R286" s="468"/>
      <c r="S286" s="466">
        <f t="shared" ref="S286" si="265">RANK(T272,$K272:$BF272)</f>
        <v>4</v>
      </c>
      <c r="T286" s="467"/>
      <c r="U286" s="467"/>
      <c r="V286" s="468"/>
      <c r="W286" s="466">
        <f t="shared" ref="W286" si="266">RANK(X272,$K272:$BF272)</f>
        <v>2</v>
      </c>
      <c r="X286" s="467"/>
      <c r="Y286" s="467"/>
      <c r="Z286" s="468"/>
      <c r="AA286" s="466">
        <f t="shared" ref="AA286" si="267">RANK(AB272,$K272:$BF272)</f>
        <v>1</v>
      </c>
      <c r="AB286" s="467"/>
      <c r="AC286" s="467"/>
      <c r="AD286" s="468"/>
      <c r="AE286" s="466">
        <f t="shared" ref="AE286" si="268">RANK(AF272,$K272:$BF272)</f>
        <v>3</v>
      </c>
      <c r="AF286" s="467"/>
      <c r="AG286" s="467"/>
      <c r="AH286" s="468"/>
      <c r="AI286" s="466">
        <f t="shared" ref="AI286" si="269">RANK(AJ272,$K272:$BF272)</f>
        <v>5</v>
      </c>
      <c r="AJ286" s="467"/>
      <c r="AK286" s="467"/>
      <c r="AL286" s="468"/>
      <c r="AM286" s="466">
        <f t="shared" ref="AM286" si="270">RANK(AN272,$K272:$BF272)</f>
        <v>12</v>
      </c>
      <c r="AN286" s="467"/>
      <c r="AO286" s="467"/>
      <c r="AP286" s="468"/>
      <c r="AQ286" s="466">
        <f t="shared" ref="AQ286" si="271">RANK(AR272,$K272:$BF272)</f>
        <v>10</v>
      </c>
      <c r="AR286" s="467"/>
      <c r="AS286" s="467"/>
      <c r="AT286" s="468"/>
      <c r="AU286" s="466">
        <f t="shared" ref="AU286" si="272">RANK(AV272,$K272:$BF272)</f>
        <v>8</v>
      </c>
      <c r="AV286" s="467"/>
      <c r="AW286" s="467"/>
      <c r="AX286" s="468"/>
      <c r="AY286" s="466">
        <f t="shared" ref="AY286" si="273">RANK(AZ272,$K272:$BF272)</f>
        <v>11</v>
      </c>
      <c r="AZ286" s="467"/>
      <c r="BA286" s="467"/>
      <c r="BB286" s="468"/>
      <c r="BC286" s="466">
        <f>RANK(BD272,$K272:$BF272)</f>
        <v>7</v>
      </c>
      <c r="BD286" s="467"/>
      <c r="BE286" s="467"/>
      <c r="BF286" s="468"/>
    </row>
    <row r="287" spans="2:58" ht="17.5" x14ac:dyDescent="0.3">
      <c r="B287" s="720"/>
      <c r="C287" s="508" t="s">
        <v>159</v>
      </c>
      <c r="D287" s="509"/>
      <c r="E287" s="509"/>
      <c r="F287" s="509"/>
      <c r="G287" s="509"/>
      <c r="H287" s="509"/>
      <c r="I287" s="509"/>
      <c r="J287" s="510"/>
      <c r="K287" s="496">
        <f>RANK(M273,$K273:$BF273)</f>
        <v>10</v>
      </c>
      <c r="L287" s="470"/>
      <c r="M287" s="470"/>
      <c r="N287" s="471"/>
      <c r="O287" s="469">
        <f t="shared" ref="O287" si="274">RANK(Q273,$K273:$BF273)</f>
        <v>1</v>
      </c>
      <c r="P287" s="470"/>
      <c r="Q287" s="470"/>
      <c r="R287" s="471"/>
      <c r="S287" s="469">
        <f t="shared" ref="S287" si="275">RANK(U273,$K273:$BF273)</f>
        <v>2</v>
      </c>
      <c r="T287" s="470"/>
      <c r="U287" s="470"/>
      <c r="V287" s="471"/>
      <c r="W287" s="469">
        <f t="shared" ref="W287" si="276">RANK(Y273,$K273:$BF273)</f>
        <v>4</v>
      </c>
      <c r="X287" s="470"/>
      <c r="Y287" s="470"/>
      <c r="Z287" s="471"/>
      <c r="AA287" s="469">
        <f t="shared" ref="AA287" si="277">RANK(AC273,$K273:$BF273)</f>
        <v>7</v>
      </c>
      <c r="AB287" s="470"/>
      <c r="AC287" s="470"/>
      <c r="AD287" s="471"/>
      <c r="AE287" s="469">
        <f t="shared" ref="AE287" si="278">RANK(AG273,$K273:$BF273)</f>
        <v>3</v>
      </c>
      <c r="AF287" s="470"/>
      <c r="AG287" s="470"/>
      <c r="AH287" s="471"/>
      <c r="AI287" s="469">
        <f t="shared" ref="AI287" si="279">RANK(AK273,$K273:$BF273)</f>
        <v>9</v>
      </c>
      <c r="AJ287" s="470"/>
      <c r="AK287" s="470"/>
      <c r="AL287" s="471"/>
      <c r="AM287" s="469">
        <f t="shared" ref="AM287" si="280">RANK(AO273,$K273:$BF273)</f>
        <v>5</v>
      </c>
      <c r="AN287" s="470"/>
      <c r="AO287" s="470"/>
      <c r="AP287" s="471"/>
      <c r="AQ287" s="469">
        <f t="shared" ref="AQ287" si="281">RANK(AS273,$K273:$BF273)</f>
        <v>6</v>
      </c>
      <c r="AR287" s="470"/>
      <c r="AS287" s="470"/>
      <c r="AT287" s="471"/>
      <c r="AU287" s="469">
        <f t="shared" ref="AU287" si="282">RANK(AW273,$K273:$BF273)</f>
        <v>12</v>
      </c>
      <c r="AV287" s="470"/>
      <c r="AW287" s="470"/>
      <c r="AX287" s="471"/>
      <c r="AY287" s="469">
        <f t="shared" ref="AY287" si="283">RANK(BA273,$K273:$BF273)</f>
        <v>8</v>
      </c>
      <c r="AZ287" s="470"/>
      <c r="BA287" s="470"/>
      <c r="BB287" s="471"/>
      <c r="BC287" s="469">
        <f t="shared" ref="BC287" si="284">RANK(BE273,$K273:$BF273)</f>
        <v>11</v>
      </c>
      <c r="BD287" s="470"/>
      <c r="BE287" s="470"/>
      <c r="BF287" s="471"/>
    </row>
    <row r="288" spans="2:58" ht="17.5" x14ac:dyDescent="0.3">
      <c r="B288" s="720"/>
      <c r="C288" s="508" t="s">
        <v>324</v>
      </c>
      <c r="D288" s="509"/>
      <c r="E288" s="509"/>
      <c r="F288" s="509"/>
      <c r="G288" s="509"/>
      <c r="H288" s="509"/>
      <c r="I288" s="509"/>
      <c r="J288" s="510"/>
      <c r="K288" s="493">
        <f t="shared" ref="K288" si="285">RANK(N274,$K274:$BF274)</f>
        <v>5</v>
      </c>
      <c r="L288" s="473"/>
      <c r="M288" s="473"/>
      <c r="N288" s="474"/>
      <c r="O288" s="472">
        <f t="shared" ref="O288" si="286">RANK(R274,$K274:$BF274)</f>
        <v>9</v>
      </c>
      <c r="P288" s="473"/>
      <c r="Q288" s="473"/>
      <c r="R288" s="474"/>
      <c r="S288" s="472">
        <f t="shared" ref="S288" si="287">RANK(V274,$K274:$BF274)</f>
        <v>1</v>
      </c>
      <c r="T288" s="473"/>
      <c r="U288" s="473"/>
      <c r="V288" s="474"/>
      <c r="W288" s="472">
        <f t="shared" ref="W288" si="288">RANK(Z274,$K274:$BF274)</f>
        <v>8</v>
      </c>
      <c r="X288" s="473"/>
      <c r="Y288" s="473"/>
      <c r="Z288" s="474"/>
      <c r="AA288" s="472">
        <f t="shared" ref="AA288" si="289">RANK(AD274,$K274:$BF274)</f>
        <v>11</v>
      </c>
      <c r="AB288" s="473"/>
      <c r="AC288" s="473"/>
      <c r="AD288" s="474"/>
      <c r="AE288" s="472">
        <f t="shared" ref="AE288" si="290">RANK(AH274,$K274:$BF274)</f>
        <v>6</v>
      </c>
      <c r="AF288" s="473"/>
      <c r="AG288" s="473"/>
      <c r="AH288" s="474"/>
      <c r="AI288" s="472">
        <f t="shared" ref="AI288" si="291">RANK(AL274,$K274:$BF274)</f>
        <v>10</v>
      </c>
      <c r="AJ288" s="473"/>
      <c r="AK288" s="473"/>
      <c r="AL288" s="474"/>
      <c r="AM288" s="472">
        <f t="shared" ref="AM288" si="292">RANK(AP274,$K274:$BF274)</f>
        <v>3</v>
      </c>
      <c r="AN288" s="473"/>
      <c r="AO288" s="473"/>
      <c r="AP288" s="474"/>
      <c r="AQ288" s="472">
        <f t="shared" ref="AQ288" si="293">RANK(AT274,$K274:$BF274)</f>
        <v>7</v>
      </c>
      <c r="AR288" s="473"/>
      <c r="AS288" s="473"/>
      <c r="AT288" s="474"/>
      <c r="AU288" s="472">
        <f t="shared" ref="AU288" si="294">RANK(AX274,$K274:$BF274)</f>
        <v>2</v>
      </c>
      <c r="AV288" s="473"/>
      <c r="AW288" s="473"/>
      <c r="AX288" s="474"/>
      <c r="AY288" s="472">
        <f t="shared" ref="AY288" si="295">RANK(BB274,$K274:$BF274)</f>
        <v>4</v>
      </c>
      <c r="AZ288" s="473"/>
      <c r="BA288" s="473"/>
      <c r="BB288" s="474"/>
      <c r="BC288" s="472">
        <f>RANK(BF274,$K274:$BF274)</f>
        <v>12</v>
      </c>
      <c r="BD288" s="473"/>
      <c r="BE288" s="473"/>
      <c r="BF288" s="474"/>
    </row>
    <row r="289" spans="2:58" ht="38.25" customHeight="1" thickBot="1" x14ac:dyDescent="0.35">
      <c r="B289" s="721"/>
      <c r="C289" s="651" t="s">
        <v>156</v>
      </c>
      <c r="D289" s="652"/>
      <c r="E289" s="652"/>
      <c r="F289" s="652"/>
      <c r="G289" s="652"/>
      <c r="H289" s="652"/>
      <c r="I289" s="652"/>
      <c r="J289" s="653"/>
      <c r="K289" s="497">
        <f t="shared" ref="K289" si="296">RANK(K275,$K275:$BF275)</f>
        <v>11</v>
      </c>
      <c r="L289" s="476"/>
      <c r="M289" s="476"/>
      <c r="N289" s="477"/>
      <c r="O289" s="475">
        <f t="shared" ref="O289" si="297">RANK(O275,$K275:$BF275)</f>
        <v>4</v>
      </c>
      <c r="P289" s="476"/>
      <c r="Q289" s="476"/>
      <c r="R289" s="477"/>
      <c r="S289" s="475">
        <f t="shared" ref="S289" si="298">RANK(S275,$K275:$BF275)</f>
        <v>1</v>
      </c>
      <c r="T289" s="476"/>
      <c r="U289" s="476"/>
      <c r="V289" s="477"/>
      <c r="W289" s="475">
        <f t="shared" ref="W289" si="299">RANK(W275,$K275:$BF275)</f>
        <v>2</v>
      </c>
      <c r="X289" s="476"/>
      <c r="Y289" s="476"/>
      <c r="Z289" s="477"/>
      <c r="AA289" s="475">
        <f t="shared" ref="AA289" si="300">RANK(AA275,$K275:$BF275)</f>
        <v>7</v>
      </c>
      <c r="AB289" s="476"/>
      <c r="AC289" s="476"/>
      <c r="AD289" s="477"/>
      <c r="AE289" s="475">
        <f t="shared" ref="AE289" si="301">RANK(AE275,$K275:$BF275)</f>
        <v>3</v>
      </c>
      <c r="AF289" s="476"/>
      <c r="AG289" s="476"/>
      <c r="AH289" s="477"/>
      <c r="AI289" s="475">
        <f t="shared" ref="AI289" si="302">RANK(AI275,$K275:$BF275)</f>
        <v>5</v>
      </c>
      <c r="AJ289" s="476"/>
      <c r="AK289" s="476"/>
      <c r="AL289" s="477"/>
      <c r="AM289" s="475">
        <f t="shared" ref="AM289" si="303">RANK(AM275,$K275:$BF275)</f>
        <v>6</v>
      </c>
      <c r="AN289" s="476"/>
      <c r="AO289" s="476"/>
      <c r="AP289" s="477"/>
      <c r="AQ289" s="475">
        <f t="shared" ref="AQ289" si="304">RANK(AQ275,$K275:$BF275)</f>
        <v>10</v>
      </c>
      <c r="AR289" s="476"/>
      <c r="AS289" s="476"/>
      <c r="AT289" s="477"/>
      <c r="AU289" s="475">
        <f t="shared" ref="AU289" si="305">RANK(AU275,$K275:$BF275)</f>
        <v>8</v>
      </c>
      <c r="AV289" s="476"/>
      <c r="AW289" s="476"/>
      <c r="AX289" s="477"/>
      <c r="AY289" s="475">
        <f t="shared" ref="AY289" si="306">RANK(AY275,$K275:$BF275)</f>
        <v>9</v>
      </c>
      <c r="AZ289" s="476"/>
      <c r="BA289" s="476"/>
      <c r="BB289" s="477"/>
      <c r="BC289" s="475">
        <f>RANK(BC275,$K275:$BF275)</f>
        <v>12</v>
      </c>
      <c r="BD289" s="476"/>
      <c r="BE289" s="476"/>
      <c r="BF289" s="477"/>
    </row>
    <row r="291" spans="2:58" ht="14.5" thickBot="1" x14ac:dyDescent="0.35"/>
    <row r="292" spans="2:58" ht="23.5" customHeight="1" thickBot="1" x14ac:dyDescent="0.35">
      <c r="K292" s="690" t="s">
        <v>235</v>
      </c>
      <c r="L292" s="691"/>
      <c r="M292" s="691"/>
      <c r="N292" s="691"/>
      <c r="O292" s="691"/>
      <c r="P292" s="691"/>
      <c r="Q292" s="691"/>
      <c r="R292" s="691"/>
      <c r="S292" s="691"/>
      <c r="T292" s="691"/>
      <c r="U292" s="691"/>
      <c r="V292" s="691"/>
      <c r="W292" s="691"/>
      <c r="X292" s="691"/>
      <c r="Y292" s="691"/>
      <c r="Z292" s="691"/>
      <c r="AA292" s="691"/>
      <c r="AB292" s="691"/>
      <c r="AC292" s="691"/>
      <c r="AD292" s="691"/>
      <c r="AE292" s="691"/>
      <c r="AF292" s="691"/>
      <c r="AG292" s="691"/>
      <c r="AH292" s="691"/>
      <c r="AI292" s="691"/>
      <c r="AJ292" s="691"/>
      <c r="AK292" s="691"/>
      <c r="AL292" s="691"/>
      <c r="AM292" s="691"/>
      <c r="AN292" s="691"/>
      <c r="AO292" s="691"/>
      <c r="AP292" s="691"/>
      <c r="AQ292" s="691"/>
      <c r="AR292" s="691"/>
      <c r="AS292" s="691"/>
      <c r="AT292" s="691"/>
      <c r="AU292" s="691"/>
      <c r="AV292" s="691"/>
      <c r="AW292" s="691"/>
      <c r="AX292" s="691"/>
      <c r="AY292" s="691"/>
      <c r="AZ292" s="691"/>
      <c r="BA292" s="691"/>
      <c r="BB292" s="691"/>
      <c r="BC292" s="692"/>
    </row>
    <row r="293" spans="2:58" ht="20.5" thickBot="1" x14ac:dyDescent="0.35">
      <c r="K293" s="829" t="s">
        <v>152</v>
      </c>
      <c r="L293" s="830"/>
      <c r="M293" s="830"/>
      <c r="N293" s="830"/>
      <c r="O293" s="830"/>
      <c r="P293" s="830"/>
      <c r="Q293" s="830"/>
      <c r="R293" s="831"/>
      <c r="W293" s="819" t="s">
        <v>153</v>
      </c>
      <c r="X293" s="820"/>
      <c r="Y293" s="820"/>
      <c r="Z293" s="820"/>
      <c r="AA293" s="820"/>
      <c r="AB293" s="820"/>
      <c r="AC293" s="820"/>
      <c r="AD293" s="821"/>
      <c r="AI293" s="805" t="s">
        <v>154</v>
      </c>
      <c r="AJ293" s="806"/>
      <c r="AK293" s="806"/>
      <c r="AL293" s="806"/>
      <c r="AM293" s="806"/>
      <c r="AN293" s="806"/>
      <c r="AO293" s="806"/>
      <c r="AP293" s="813"/>
      <c r="AU293" s="810" t="s">
        <v>320</v>
      </c>
      <c r="AV293" s="811"/>
      <c r="AW293" s="811"/>
      <c r="AX293" s="811"/>
      <c r="AY293" s="811"/>
      <c r="AZ293" s="811"/>
      <c r="BA293" s="811"/>
      <c r="BB293" s="812"/>
    </row>
    <row r="294" spans="2:58" x14ac:dyDescent="0.3">
      <c r="K294" s="822" t="s">
        <v>213</v>
      </c>
      <c r="L294" s="823" t="str">
        <f t="shared" ref="L294:L305" si="307">IF(TEXT(K$285,"#")=MID(K294,1,LEN(K294)-1),K$13,IF(TEXT(O$285,"#")=MID(K294,1,LEN(K294)-1),O$13,IF(TEXT(S$285,"#")=MID(K294,1,LEN(K294)-1),S$13,IF(TEXT(W$285,"#")=MID(K294,1,LEN(K294)-1),W$13,IF(TEXT(AA$285,"#")=MID(K294,1,LEN(K294)-1),AA$13,IF(TEXT(AE$285,"#")=MID(K294,1,LEN(K294)-1),AE$13,IF(TEXT(AI$285,"#")=MID(K294,1,LEN(K294)-1),AI$13,IF(TEXT(AM$285,"#")=MID(K294,1,LEN(K294)-1),AM$13,IF(TEXT(AQ$285,"#")=MID(K294,1,LEN(K294)-1),AQ$13,IF(TEXT(AU$285,"#")=MID(K294,1,LEN(K294)-1),AU$13,IF(TEXT(AY$285,"#")=MID(K294,1,LEN(K294)-1),AY$13,IF(TEXT(BC$285,"#")=MID(K294,1,LEN(K294)-1),BC$13,""))))))))))))</f>
        <v>B</v>
      </c>
      <c r="M294" s="824" t="str">
        <f t="shared" ref="M294:M305" si="308">IF(TEXT(K$285,"#")=MID(K294,1,LEN(K294)-1),K$14,IF(TEXT(O$285,"#")=MID(K294,1,LEN(K294)-1),O$14,IF(TEXT(S$285,"#")=MID(K294,1,LEN(K294)-1),S$14,IF(TEXT(W$285,"#")=MID(K294,1,LEN(K294)-1),W$14,IF(TEXT(AA$285,"#")=MID(K294,1,LEN(K294)-1),AA$14,IF(TEXT(AE$285,"#")=MID(K294,1,LEN(K294)-1),AE$14,IF(TEXT(AI$285,"#")=MID(K294,1,LEN(K294)-1),AI$14,IF(TEXT(AM$285,"#")=MID(K294,1,LEN(K294)-1),AM$14,IF(TEXT(AQ$285,"#")=MID(K294,1,LEN(K294)-1),AQ$14,IF(TEXT(AU$285,"#")=MID(K294,1,LEN(K294)-1),AU$14,IF(TEXT(AY$285,"#")=MID(K294,1,LEN(K294)-1),AY$14,IF(TEXT(BC$285,"#")=MID(K294,1,LEN(K294)-1),BC$14,""))))))))))))</f>
        <v>Stefano</v>
      </c>
      <c r="N294" s="825"/>
      <c r="O294" s="825"/>
      <c r="P294" s="826"/>
      <c r="Q294" s="827">
        <f t="shared" ref="Q294:Q305" si="309">IF(TEXT(K$285,"#")=MID(K294,1,LEN(K294)-1),K$271,IF(TEXT(O$285,"#")=MID(K294,1,LEN(K294)-1),O$271,IF(TEXT(S$285,"#")=MID(K294,1,LEN(K294)-1),S$271,IF(TEXT(W$285,"#")=MID(K294,1,LEN(K294)-1),W$271,IF(TEXT(AA$285,"#")=MID(K294,1,LEN(K294)-1),AA$271,IF(TEXT(AE$285,"#")=MID(K294,1,LEN(K294)-1),AE$271,IF(TEXT(AI$285,"#")=MID(K294,1,LEN(K294)-1),AI$271,IF(TEXT(AM$285,"#")=MID(K294,1,LEN(K294)-1),AM$271,IF(TEXT(AQ$285,"#")=MID(K294,1,LEN(K294)-1),AQ$271,IF(TEXT(AU$285,"#")=MID(K294,1,LEN(K294)-1),AU$271,IF(TEXT(AY$285,"#")=MID(K294,1,LEN(K294)-1),AY$271,IF(TEXT(BC$285,"#")=MID(K294,1,LEN(K294)-1),BC$271,""))))))))))))</f>
        <v>1553.98</v>
      </c>
      <c r="R294" s="828">
        <f t="shared" ref="R294:S305" si="310">$Q294/1680</f>
        <v>0.92498809523809522</v>
      </c>
      <c r="S294" s="446"/>
      <c r="T294" s="446"/>
      <c r="W294" s="814" t="s">
        <v>213</v>
      </c>
      <c r="X294" s="815" t="str">
        <f t="shared" ref="X294:X305" si="311">IF(TEXT(K$286,"#")=MID(K294,1,LEN(K294)-1),K$13,IF(TEXT(O$286,"#")=MID(K294,1,LEN(K294)-1),O$13,IF(TEXT(S$286,"#")=MID(K294,1,LEN(K294)-1),S$13,IF(TEXT(W$286,"#")=MID(K294,1,LEN(K294)-1),W$13,IF(TEXT(AA$286,"#")=MID(K294,1,LEN(K294)-1),AA$13,IF(TEXT(AE$286,"#")=MID(K294,1,LEN(K294)-1),AE$13,IF(TEXT(AI$286,"#")=MID(K294,1,LEN(K294)-1),AI$13,IF(TEXT(AM$286,"#")=MID(K294,1,LEN(K294)-1),AM$13,IF(TEXT(AQ$286,"#")=MID(K294,1,LEN(K294)-1),AQ$13,IF(TEXT(AU$286,"#")=MID(K294,1,LEN(K294)-1),AU$13,IF(TEXT(AY$286,"#")=MID(K294,1,LEN(K294)-1),AY$13,IF(TEXT(BC$286,"#")=MID(K294,1,LEN(K294)-1),BC$13,""))))))))))))</f>
        <v>E</v>
      </c>
      <c r="Y294" s="816" t="str">
        <f t="shared" ref="Y294:Y305" si="312">IF(TEXT(K$286,"#")=MID(K294,1,LEN(K294)-1),K$14,IF(TEXT(O$286,"#")=MID(K294,1,LEN(K294)-1),O$14,IF(TEXT(S$286,"#")=MID(K294,1,LEN(K294)-1),S$14,IF(TEXT(W$286,"#")=MID(K294,1,LEN(K294)-1),W$14,IF(TEXT(AA$286,"#")=MID(K294,1,LEN(K294)-1),AA$14,IF(TEXT(AE$286,"#")=MID(K294,1,LEN(K294)-1),AE$14,IF(TEXT(AI$286,"#")=MID(K294,1,LEN(K294)-1),AI$14,IF(TEXT(AM$286,"#")=MID(K294,1,LEN(K294)-1),AM$14,IF(TEXT(AQ$286,"#")=MID(K294,1,LEN(K294)-1),AQ$14,IF(TEXT(AU$286,"#")=MID(K294,1,LEN(K294)-1),AU$14,IF(TEXT(AY$286,"#")=MID(K294,1,LEN(K294)-1),AY$14,IF(TEXT(BC$286,"#")=MID(K294,1,LEN(K294)-1),BC$14,""))))))))))))</f>
        <v>Alberto</v>
      </c>
      <c r="Z294" s="816"/>
      <c r="AA294" s="816"/>
      <c r="AB294" s="816"/>
      <c r="AC294" s="817">
        <f t="shared" ref="AC294:AC305" si="313">IF(TEXT(K$286,"#")=MID(K294,1,LEN(K294)-1),L$272,IF(TEXT(O$286,"#")=MID(K294,1,LEN(K294)-1),P$272,IF(TEXT(S$286,"#")=MID(K294,1,LEN(K294)-1),T$272,IF(TEXT(W$286,"#")=MID(K294,1,LEN(K294)-1),X$272,IF(TEXT(AA$286,"#")=MID(K294,1,LEN(K294)-1),AB$272,IF(TEXT(AE$286,"#")=MID(K294,1,LEN(K294)-1),AF$272,IF(TEXT(AI$286,"#")=MID(K294,1,LEN(K294)-1),AJ$272,IF(TEXT(AM$286,"#")=MID(K294,1,LEN(K294)-1),AN$272,IF(TEXT(AQ$286,"#")=MID(K294,1,LEN(K294)-1),AR$272,IF(TEXT(AU$286,"#")=MID(K294,1,LEN(K294)-1),AV$272,IF(TEXT(AY$286,"#")=MID(K294,1,LEN(K294)-1),AZ$272,IF(TEXT(BC$286,"#")=MID(K294,1,LEN(K294)-1),BD$272,""))))))))))))</f>
        <v>1680</v>
      </c>
      <c r="AD294" s="818">
        <f>$AC294/1680</f>
        <v>1</v>
      </c>
      <c r="AE294" s="446"/>
      <c r="AF294" s="446"/>
      <c r="AI294" s="101" t="s">
        <v>213</v>
      </c>
      <c r="AJ294" s="102" t="str">
        <f t="shared" ref="AJ294:AJ305" si="314">IF(TEXT(K$287,"#")=MID(K294,1,LEN(K294)-1),K$13,IF(TEXT(O$287,"#")=MID(K294,1,LEN(K294)-1),O$13,IF(TEXT(S$287,"#")=MID(K294,1,LEN(K294)-1),S$13,IF(TEXT(W$287,"#")=MID(K294,1,LEN(K294)-1),W$13,IF(TEXT(AA$287,"#")=MID(K294,1,LEN(K294)-1),AA$13,IF(TEXT(AE$287,"#")=MID(K294,1,LEN(K294)-1),AE$13,IF(TEXT(AI$287,"#")=MID(K294,1,LEN(K294)-1),AI$13,IF(TEXT(AM$287,"#")=MID(K294,1,LEN(K294)-1),AM$13,IF(TEXT(AQ$287,"#")=MID(K294,1,LEN(K294)-1),AQ$13,IF(TEXT(AU$287,"#")=MID(K294,1,LEN(K294)-1),AU$13,IF(TEXT(AY$287,"#")=MID(K294,1,LEN(K294)-1),AY$13,IF(TEXT(BC$287,"#")=MID(K294,1,LEN(K294)-1),BC$13,""))))))))))))</f>
        <v>B</v>
      </c>
      <c r="AK294" s="662" t="str">
        <f t="shared" ref="AK294:AK305" si="315">IF(TEXT(K$287,"#")=MID(K294,1,LEN(K294)-1),K$14,IF(TEXT(O$287,"#")=MID(K294,1,LEN(K294)-1),O$14,IF(TEXT(S$287,"#")=MID(K294,1,LEN(K294)-1),S$14,IF(TEXT(W$287,"#")=MID(K294,1,LEN(K294)-1),W$14,IF(TEXT(AA$287,"#")=MID(K294,1,LEN(K294)-1),AA$14,IF(TEXT(AE$287,"#")=MID(K294,1,LEN(K294)-1),AE$14,IF(TEXT(AI$287,"#")=MID(K294,1,LEN(K294)-1),AI$14,IF(TEXT(AM$287,"#")=MID(K294,1,LEN(K294)-1),AM$14,IF(TEXT(AQ$287,"#")=MID(K294,1,LEN(K294)-1),AQ$14,IF(TEXT(AU$287,"#")=MID(K294,1,LEN(K294)-1),AU$14,IF(TEXT(AY$287,"#")=MID(K294,1,LEN(K294)-1),AY$14,IF(TEXT(BC$287,"#")=MID(K294,1,LEN(K294)-1),BC$14,""))))))))))))</f>
        <v>Stefano</v>
      </c>
      <c r="AL294" s="663"/>
      <c r="AM294" s="663"/>
      <c r="AN294" s="664"/>
      <c r="AO294" s="103">
        <f t="shared" ref="AO294:AO305" si="316">IF(TEXT(K$287,"#")=MID(K294,1,LEN(K294)-1),M$273,IF(TEXT(O$287,"#")=MID(K294,1,LEN(K294)-1),Q$273,IF(TEXT(S$287,"#")=MID(K294,1,LEN(K294)-1),U$273,IF(TEXT(W$287,"#")=MID(K294,1,LEN(K294)-1),Y$273,IF(TEXT(AA$287,"#")=MID(K294,1,LEN(K294)-1),AC$273,IF(TEXT(AE$287,"#")=MID(K294,1,LEN(K294)-1),AG$273,IF(TEXT(AI$287,"#")=MID(K294,1,LEN(K294)-1),AK$273,IF(TEXT(AM$287,"#")=MID(K294,1,LEN(K294)-1),AO$273,IF(TEXT(AQ$287,"#")=MID(K294,1,LEN(K294)-1),AS$273,IF(TEXT(AU$287,"#")=MID(K294,1,LEN(K294)-1),AW$273,IF(TEXT(AY$287,"#")=MID(K294,1,LEN(K294)-1),BA$273,IF(TEXT(BC$287,"#")=MID(K294,1,LEN(K294)-1),BE$273,""))))))))))))</f>
        <v>1679.9739999999999</v>
      </c>
      <c r="AP294" s="104">
        <f>AO294/1680</f>
        <v>0.99998452380952374</v>
      </c>
      <c r="AQ294" s="446"/>
      <c r="AR294" s="446"/>
      <c r="AU294" s="406" t="s">
        <v>213</v>
      </c>
      <c r="AV294" s="407" t="str">
        <f t="shared" ref="AV294:AV305" si="317">IF(TEXT(K$288,"#")=MID(K294,1,LEN(K294)-1),K$13,IF(TEXT(O$288,"#")=MID(K294,1,LEN(K294)-1),O$13,IF(TEXT(S$288,"#")=MID(K294,1,LEN(K294)-1),S$13,IF(TEXT(W$288,"#")=MID(K294,1,LEN(K294)-1),W$13,IF(TEXT(AA$288,"#")=MID(K294,1,LEN(K294)-1),AA$13,IF(TEXT(AE$288,"#")=MID(K294,1,LEN(K294)-1),AE$13,IF(TEXT(AI$288,"#")=MID(K294,1,LEN(K294)-1),AI$13,IF(TEXT(AM$288,"#")=MID(K294,1,LEN(K294)-1),AM$13,IF(TEXT(AQ$288,"#")=MID(K294,1,LEN(K294)-1),AQ$13,IF(TEXT(AU$288,"#")=MID(K294,1,LEN(K294)-1),AU$13,IF(TEXT(AY$288,"#")=MID(K294,1,LEN(K294)-1),AY$13,IF(TEXT(BC$288,"#")=MID(K294,1,LEN(K294)-1),BC$13,""))))))))))))</f>
        <v>C</v>
      </c>
      <c r="AW294" s="484" t="str">
        <f t="shared" ref="AW294:AW305" si="318">IF(TEXT(K$288,"#")=MID(K294,1,LEN(K294)-1),K$14,IF(TEXT(O$288,"#")=MID(K294,1,LEN(K294)-1),O$14,IF(TEXT(S$288,"#")=MID(K294,1,LEN(K294)-1),S$14,IF(TEXT(W$288,"#")=MID(K294,1,LEN(K294)-1),W$14,IF(TEXT(AA$288,"#")=MID(K294,1,LEN(K294)-1),AA$14,IF(TEXT(AE$288,"#")=MID(K294,1,LEN(K294)-1),AE$14,IF(TEXT(AI$288,"#")=MID(K294,1,LEN(K294)-1),AI$14,IF(TEXT(AM$288,"#")=MID(K294,1,LEN(K294)-1),AM$14,IF(TEXT(AQ$288,"#")=MID(K294,1,LEN(K294)-1),AQ$14,IF(TEXT(AU$288,"#")=MID(K294,1,LEN(K294)-1),AU$14,IF(TEXT(AY$288,"#")=MID(K294,1,LEN(K294)-1),AY$14,IF(TEXT(BC$288,"#")=MID(K294,1,LEN(K294)-1),BC$14,""))))))))))))</f>
        <v>Pietro</v>
      </c>
      <c r="AX294" s="485"/>
      <c r="AY294" s="485"/>
      <c r="AZ294" s="486"/>
      <c r="BA294" s="807">
        <f>IF(TEXT(K$288,"#")=MID(K294,1,LEN(K294)-1),N$274,IF(TEXT(O$288,"#")=MID(K294,1,LEN(K294)-1),R$274,IF(TEXT(S$288,"#")=MID(K294,1,LEN(K294)-1),V$274,IF(TEXT(W$288,"#")=MID(K294,1,LEN(K294)-1),Z$274,IF(TEXT(AA$288,"#")=MID(K294,1,LEN(K294)-1),AD$274,IF(TEXT(AE$288,"#")=MID(K294,1,LEN(K294)-1),AH$274,IF(TEXT(AI$288,"#")=MID(K294,1,LEN(K294)-1),AL$274,IF(TEXT(AM$288,"#")=MID(K294,1,LEN(K294)-1),AP$274,IF(TEXT(AQ$288,"#")=MID(K294,1,LEN(K294)-1),AT$274,IF(TEXT(AU$288,"#")=MID(K294,1,LEN(K294)-1),AX$274,IF(TEXT(AY$288,"#")=MID(K294,1,LEN(K294)-1),BB$274,IF(TEXT(BC$288,"#")=MID(K294,1,LEN(K294)-1),BF$274,""))))))))))))</f>
        <v>1679.9760200000001</v>
      </c>
      <c r="BB294" s="408">
        <f>$BA294/1680</f>
        <v>0.99998572619047621</v>
      </c>
      <c r="BC294" s="804"/>
      <c r="BD294" s="804"/>
    </row>
    <row r="295" spans="2:58" x14ac:dyDescent="0.3">
      <c r="K295" s="56" t="s">
        <v>214</v>
      </c>
      <c r="L295" s="57" t="str">
        <f t="shared" si="307"/>
        <v>D</v>
      </c>
      <c r="M295" s="564" t="str">
        <f t="shared" si="308"/>
        <v>Alessandro</v>
      </c>
      <c r="N295" s="565"/>
      <c r="O295" s="565"/>
      <c r="P295" s="566"/>
      <c r="Q295" s="445">
        <f t="shared" si="309"/>
        <v>1511.9760000000001</v>
      </c>
      <c r="R295" s="462">
        <f t="shared" si="310"/>
        <v>0.89998571428571439</v>
      </c>
      <c r="S295" s="446"/>
      <c r="T295" s="446"/>
      <c r="W295" s="65" t="s">
        <v>214</v>
      </c>
      <c r="X295" s="66" t="str">
        <f t="shared" si="311"/>
        <v>D</v>
      </c>
      <c r="Y295" s="647" t="str">
        <f t="shared" si="312"/>
        <v>Alessandro</v>
      </c>
      <c r="Z295" s="647"/>
      <c r="AA295" s="647"/>
      <c r="AB295" s="647"/>
      <c r="AC295" s="80">
        <f t="shared" si="313"/>
        <v>1545.3846153846152</v>
      </c>
      <c r="AD295" s="99">
        <f t="shared" ref="AD295:AF305" si="319">$AC295/1680</f>
        <v>0.91987179487179482</v>
      </c>
      <c r="AE295" s="446"/>
      <c r="AF295" s="446"/>
      <c r="AI295" s="74" t="s">
        <v>214</v>
      </c>
      <c r="AJ295" s="75" t="str">
        <f t="shared" si="314"/>
        <v>C</v>
      </c>
      <c r="AK295" s="582" t="str">
        <f t="shared" si="315"/>
        <v>Pietro</v>
      </c>
      <c r="AL295" s="583"/>
      <c r="AM295" s="583"/>
      <c r="AN295" s="584"/>
      <c r="AO295" s="82">
        <f t="shared" si="316"/>
        <v>1609.9849999999999</v>
      </c>
      <c r="AP295" s="105">
        <f t="shared" ref="AP295:AP305" si="320">AO295/1680</f>
        <v>0.95832440476190472</v>
      </c>
      <c r="AQ295" s="446"/>
      <c r="AR295" s="446"/>
      <c r="AU295" s="173" t="s">
        <v>214</v>
      </c>
      <c r="AV295" s="174" t="str">
        <f t="shared" si="317"/>
        <v>J</v>
      </c>
      <c r="AW295" s="478" t="str">
        <f t="shared" si="318"/>
        <v>Emma</v>
      </c>
      <c r="AX295" s="479"/>
      <c r="AY295" s="479"/>
      <c r="AZ295" s="480"/>
      <c r="BA295" s="808">
        <f t="shared" ref="BA295:BA305" si="321">IF(TEXT(K$288,"#")=MID(K295,1,LEN(K295)-1),N$274,IF(TEXT(O$288,"#")=MID(K295,1,LEN(K295)-1),R$274,IF(TEXT(S$288,"#")=MID(K295,1,LEN(K295)-1),V$274,IF(TEXT(W$288,"#")=MID(K295,1,LEN(K295)-1),Z$274,IF(TEXT(AA$288,"#")=MID(K295,1,LEN(K295)-1),AD$274,IF(TEXT(AE$288,"#")=MID(K295,1,LEN(K295)-1),AH$274,IF(TEXT(AI$288,"#")=MID(K295,1,LEN(K295)-1),AL$274,IF(TEXT(AM$288,"#")=MID(K295,1,LEN(K295)-1),AP$274,IF(TEXT(AQ$288,"#")=MID(K295,1,LEN(K295)-1),AT$274,IF(TEXT(AU$288,"#")=MID(K295,1,LEN(K295)-1),AX$274,IF(TEXT(AY$288,"#")=MID(K295,1,LEN(K295)-1),BB$274,IF(TEXT(BC$288,"#")=MID(K295,1,LEN(K295)-1),BF$274,""))))))))))))</f>
        <v>1483.974023</v>
      </c>
      <c r="BB295" s="182">
        <f t="shared" ref="BB295:BD305" si="322">$BA295/1680</f>
        <v>0.88331787083333335</v>
      </c>
      <c r="BC295" s="804"/>
      <c r="BD295" s="804"/>
    </row>
    <row r="296" spans="2:58" x14ac:dyDescent="0.3">
      <c r="K296" s="56" t="s">
        <v>215</v>
      </c>
      <c r="L296" s="57" t="str">
        <f t="shared" si="307"/>
        <v>G</v>
      </c>
      <c r="M296" s="564" t="str">
        <f t="shared" si="308"/>
        <v>Gianluca</v>
      </c>
      <c r="N296" s="565"/>
      <c r="O296" s="565"/>
      <c r="P296" s="566"/>
      <c r="Q296" s="79">
        <f t="shared" si="309"/>
        <v>1469.9770000000001</v>
      </c>
      <c r="R296" s="439">
        <f t="shared" si="310"/>
        <v>0.87498630952380962</v>
      </c>
      <c r="S296" s="446"/>
      <c r="T296" s="446"/>
      <c r="W296" s="65" t="s">
        <v>215</v>
      </c>
      <c r="X296" s="66" t="str">
        <f t="shared" si="311"/>
        <v>F</v>
      </c>
      <c r="Y296" s="647" t="str">
        <f t="shared" si="312"/>
        <v>Massimo</v>
      </c>
      <c r="Z296" s="647"/>
      <c r="AA296" s="647"/>
      <c r="AB296" s="647"/>
      <c r="AC296" s="80">
        <f t="shared" si="313"/>
        <v>1260</v>
      </c>
      <c r="AD296" s="99">
        <f t="shared" si="319"/>
        <v>0.75</v>
      </c>
      <c r="AE296" s="446"/>
      <c r="AF296" s="446"/>
      <c r="AI296" s="74" t="s">
        <v>215</v>
      </c>
      <c r="AJ296" s="75" t="str">
        <f t="shared" si="314"/>
        <v>F</v>
      </c>
      <c r="AK296" s="582" t="str">
        <f t="shared" si="315"/>
        <v>Massimo</v>
      </c>
      <c r="AL296" s="583"/>
      <c r="AM296" s="583"/>
      <c r="AN296" s="584"/>
      <c r="AO296" s="82">
        <f t="shared" si="316"/>
        <v>1189.9639999999999</v>
      </c>
      <c r="AP296" s="105">
        <f t="shared" si="320"/>
        <v>0.70831190476190475</v>
      </c>
      <c r="AQ296" s="446"/>
      <c r="AR296" s="446"/>
      <c r="AU296" s="173" t="s">
        <v>215</v>
      </c>
      <c r="AV296" s="174" t="str">
        <f t="shared" si="317"/>
        <v>H</v>
      </c>
      <c r="AW296" s="478" t="str">
        <f t="shared" si="318"/>
        <v>Claudia</v>
      </c>
      <c r="AX296" s="479"/>
      <c r="AY296" s="479"/>
      <c r="AZ296" s="480"/>
      <c r="BA296" s="808">
        <f t="shared" si="321"/>
        <v>1259.9730159999999</v>
      </c>
      <c r="BB296" s="182">
        <f t="shared" si="322"/>
        <v>0.749983938095238</v>
      </c>
      <c r="BC296" s="804"/>
      <c r="BD296" s="804"/>
    </row>
    <row r="297" spans="2:58" x14ac:dyDescent="0.3">
      <c r="K297" s="56" t="s">
        <v>216</v>
      </c>
      <c r="L297" s="57" t="str">
        <f t="shared" si="307"/>
        <v>F</v>
      </c>
      <c r="M297" s="564" t="str">
        <f t="shared" si="308"/>
        <v>Massimo</v>
      </c>
      <c r="N297" s="565"/>
      <c r="O297" s="565"/>
      <c r="P297" s="566"/>
      <c r="Q297" s="79">
        <f t="shared" si="309"/>
        <v>1301.979</v>
      </c>
      <c r="R297" s="97">
        <f t="shared" si="310"/>
        <v>0.77498750000000005</v>
      </c>
      <c r="S297" s="446"/>
      <c r="T297" s="446"/>
      <c r="W297" s="65" t="s">
        <v>216</v>
      </c>
      <c r="X297" s="66" t="str">
        <f t="shared" si="311"/>
        <v>C</v>
      </c>
      <c r="Y297" s="647" t="str">
        <f t="shared" si="312"/>
        <v>Pietro</v>
      </c>
      <c r="Z297" s="647"/>
      <c r="AA297" s="647"/>
      <c r="AB297" s="647"/>
      <c r="AC297" s="80">
        <f t="shared" si="313"/>
        <v>1200.5853658536585</v>
      </c>
      <c r="AD297" s="99">
        <f t="shared" si="319"/>
        <v>0.71463414634146338</v>
      </c>
      <c r="AE297" s="446"/>
      <c r="AF297" s="446"/>
      <c r="AI297" s="74" t="s">
        <v>216</v>
      </c>
      <c r="AJ297" s="75" t="str">
        <f t="shared" si="314"/>
        <v>D</v>
      </c>
      <c r="AK297" s="582" t="str">
        <f t="shared" si="315"/>
        <v>Alessandro</v>
      </c>
      <c r="AL297" s="583"/>
      <c r="AM297" s="583"/>
      <c r="AN297" s="584"/>
      <c r="AO297" s="82">
        <f t="shared" si="316"/>
        <v>1119.9649999999999</v>
      </c>
      <c r="AP297" s="105">
        <f t="shared" si="320"/>
        <v>0.66664583333333327</v>
      </c>
      <c r="AQ297" s="446"/>
      <c r="AR297" s="446"/>
      <c r="AU297" s="173" t="s">
        <v>216</v>
      </c>
      <c r="AV297" s="174" t="str">
        <f t="shared" si="317"/>
        <v>K</v>
      </c>
      <c r="AW297" s="478" t="str">
        <f t="shared" si="318"/>
        <v>Gustavo</v>
      </c>
      <c r="AX297" s="479"/>
      <c r="AY297" s="479"/>
      <c r="AZ297" s="480"/>
      <c r="BA297" s="808">
        <f t="shared" si="321"/>
        <v>1199.974017</v>
      </c>
      <c r="BB297" s="182">
        <f t="shared" si="322"/>
        <v>0.71427024821428575</v>
      </c>
      <c r="BC297" s="804"/>
      <c r="BD297" s="804"/>
    </row>
    <row r="298" spans="2:58" x14ac:dyDescent="0.3">
      <c r="K298" s="56" t="s">
        <v>217</v>
      </c>
      <c r="L298" s="57" t="str">
        <f t="shared" si="307"/>
        <v>C</v>
      </c>
      <c r="M298" s="564" t="str">
        <f t="shared" si="308"/>
        <v>Pietro</v>
      </c>
      <c r="N298" s="565"/>
      <c r="O298" s="565"/>
      <c r="P298" s="566"/>
      <c r="Q298" s="79">
        <f t="shared" si="309"/>
        <v>1217.9739999999999</v>
      </c>
      <c r="R298" s="97">
        <f t="shared" si="310"/>
        <v>0.72498452380952372</v>
      </c>
      <c r="S298" s="446"/>
      <c r="T298" s="446"/>
      <c r="W298" s="65" t="s">
        <v>217</v>
      </c>
      <c r="X298" s="66" t="str">
        <f t="shared" si="311"/>
        <v>G</v>
      </c>
      <c r="Y298" s="647" t="str">
        <f t="shared" si="312"/>
        <v>Gianluca</v>
      </c>
      <c r="Z298" s="647"/>
      <c r="AA298" s="647"/>
      <c r="AB298" s="647"/>
      <c r="AC298" s="80">
        <f t="shared" si="313"/>
        <v>980</v>
      </c>
      <c r="AD298" s="99">
        <f t="shared" si="319"/>
        <v>0.58333333333333337</v>
      </c>
      <c r="AE298" s="446"/>
      <c r="AF298" s="446"/>
      <c r="AI298" s="74" t="s">
        <v>217</v>
      </c>
      <c r="AJ298" s="75" t="str">
        <f t="shared" si="314"/>
        <v>H</v>
      </c>
      <c r="AK298" s="582" t="str">
        <f t="shared" si="315"/>
        <v>Claudia</v>
      </c>
      <c r="AL298" s="583"/>
      <c r="AM298" s="583"/>
      <c r="AN298" s="584"/>
      <c r="AO298" s="82">
        <f t="shared" si="316"/>
        <v>979.96799999999996</v>
      </c>
      <c r="AP298" s="105">
        <f t="shared" si="320"/>
        <v>0.58331428571428567</v>
      </c>
      <c r="AQ298" s="446"/>
      <c r="AR298" s="446"/>
      <c r="AU298" s="173" t="s">
        <v>217</v>
      </c>
      <c r="AV298" s="174" t="str">
        <f t="shared" si="317"/>
        <v>A</v>
      </c>
      <c r="AW298" s="478" t="str">
        <f t="shared" si="318"/>
        <v>Gianni</v>
      </c>
      <c r="AX298" s="479"/>
      <c r="AY298" s="479"/>
      <c r="AZ298" s="480"/>
      <c r="BA298" s="808">
        <f t="shared" si="321"/>
        <v>979.97702000000004</v>
      </c>
      <c r="BB298" s="182">
        <f t="shared" si="322"/>
        <v>0.58331965476190484</v>
      </c>
      <c r="BC298" s="804"/>
      <c r="BD298" s="804"/>
    </row>
    <row r="299" spans="2:58" x14ac:dyDescent="0.3">
      <c r="K299" s="56" t="s">
        <v>218</v>
      </c>
      <c r="L299" s="57" t="str">
        <f t="shared" si="307"/>
        <v>H</v>
      </c>
      <c r="M299" s="564" t="str">
        <f t="shared" si="308"/>
        <v>Claudia</v>
      </c>
      <c r="N299" s="565"/>
      <c r="O299" s="565"/>
      <c r="P299" s="566"/>
      <c r="Q299" s="79">
        <f t="shared" si="309"/>
        <v>587.22300000000007</v>
      </c>
      <c r="R299" s="97">
        <f t="shared" si="310"/>
        <v>0.34953750000000006</v>
      </c>
      <c r="S299" s="446"/>
      <c r="T299" s="446"/>
      <c r="W299" s="65" t="s">
        <v>218</v>
      </c>
      <c r="X299" s="66" t="str">
        <f t="shared" si="311"/>
        <v>A</v>
      </c>
      <c r="Y299" s="647" t="str">
        <f t="shared" si="312"/>
        <v>Gianni</v>
      </c>
      <c r="Z299" s="647"/>
      <c r="AA299" s="647"/>
      <c r="AB299" s="647"/>
      <c r="AC299" s="80">
        <f t="shared" si="313"/>
        <v>967.5</v>
      </c>
      <c r="AD299" s="99">
        <f t="shared" si="319"/>
        <v>0.5758928571428571</v>
      </c>
      <c r="AE299" s="446"/>
      <c r="AF299" s="446"/>
      <c r="AI299" s="74" t="s">
        <v>218</v>
      </c>
      <c r="AJ299" s="75" t="str">
        <f t="shared" si="314"/>
        <v>I</v>
      </c>
      <c r="AK299" s="582" t="str">
        <f t="shared" si="315"/>
        <v>Matheus</v>
      </c>
      <c r="AL299" s="583"/>
      <c r="AM299" s="583"/>
      <c r="AN299" s="584"/>
      <c r="AO299" s="82">
        <f t="shared" si="316"/>
        <v>895.95</v>
      </c>
      <c r="AP299" s="105">
        <f t="shared" si="320"/>
        <v>0.53330357142857143</v>
      </c>
      <c r="AQ299" s="446"/>
      <c r="AR299" s="446"/>
      <c r="AU299" s="173" t="s">
        <v>218</v>
      </c>
      <c r="AV299" s="174" t="str">
        <f t="shared" si="317"/>
        <v>F</v>
      </c>
      <c r="AW299" s="478" t="str">
        <f t="shared" si="318"/>
        <v>Massimo</v>
      </c>
      <c r="AX299" s="479"/>
      <c r="AY299" s="479"/>
      <c r="AZ299" s="480"/>
      <c r="BA299" s="808">
        <f t="shared" si="321"/>
        <v>895.97702000000004</v>
      </c>
      <c r="BB299" s="182">
        <f t="shared" si="322"/>
        <v>0.53331965476190479</v>
      </c>
      <c r="BC299" s="804"/>
      <c r="BD299" s="804"/>
    </row>
    <row r="300" spans="2:58" x14ac:dyDescent="0.3">
      <c r="K300" s="56" t="s">
        <v>228</v>
      </c>
      <c r="L300" s="57" t="str">
        <f t="shared" si="307"/>
        <v>I</v>
      </c>
      <c r="M300" s="564" t="str">
        <f t="shared" si="308"/>
        <v>Matheus</v>
      </c>
      <c r="N300" s="565"/>
      <c r="O300" s="565"/>
      <c r="P300" s="566"/>
      <c r="Q300" s="445">
        <f t="shared" si="309"/>
        <v>566.37</v>
      </c>
      <c r="R300" s="97">
        <f t="shared" si="310"/>
        <v>0.33712500000000001</v>
      </c>
      <c r="S300" s="446"/>
      <c r="T300" s="446"/>
      <c r="W300" s="65" t="s">
        <v>228</v>
      </c>
      <c r="X300" s="66" t="str">
        <f t="shared" si="311"/>
        <v>L</v>
      </c>
      <c r="Y300" s="647" t="str">
        <f t="shared" si="312"/>
        <v>Valentino</v>
      </c>
      <c r="Z300" s="647"/>
      <c r="AA300" s="647"/>
      <c r="AB300" s="647"/>
      <c r="AC300" s="80">
        <f t="shared" si="313"/>
        <v>757.54988733063192</v>
      </c>
      <c r="AD300" s="99">
        <f t="shared" si="319"/>
        <v>0.45092255198251902</v>
      </c>
      <c r="AE300" s="446"/>
      <c r="AF300" s="446"/>
      <c r="AI300" s="74" t="s">
        <v>228</v>
      </c>
      <c r="AJ300" s="75" t="str">
        <f t="shared" si="314"/>
        <v>E</v>
      </c>
      <c r="AK300" s="582" t="str">
        <f t="shared" si="315"/>
        <v>Alberto</v>
      </c>
      <c r="AL300" s="583"/>
      <c r="AM300" s="583"/>
      <c r="AN300" s="584"/>
      <c r="AO300" s="82">
        <f t="shared" si="316"/>
        <v>629.41499999999996</v>
      </c>
      <c r="AP300" s="105">
        <f t="shared" si="320"/>
        <v>0.3746517857142857</v>
      </c>
      <c r="AQ300" s="446"/>
      <c r="AR300" s="446"/>
      <c r="AU300" s="173" t="s">
        <v>228</v>
      </c>
      <c r="AV300" s="174" t="str">
        <f t="shared" si="317"/>
        <v>I</v>
      </c>
      <c r="AW300" s="478" t="str">
        <f t="shared" si="318"/>
        <v>Matheus</v>
      </c>
      <c r="AX300" s="479"/>
      <c r="AY300" s="479"/>
      <c r="AZ300" s="480"/>
      <c r="BA300" s="808">
        <f t="shared" si="321"/>
        <v>689.34</v>
      </c>
      <c r="BB300" s="182">
        <f t="shared" si="322"/>
        <v>0.41032142857142861</v>
      </c>
      <c r="BC300" s="804"/>
      <c r="BD300" s="804"/>
    </row>
    <row r="301" spans="2:58" x14ac:dyDescent="0.3">
      <c r="K301" s="56" t="s">
        <v>229</v>
      </c>
      <c r="L301" s="57" t="str">
        <f t="shared" si="307"/>
        <v>J</v>
      </c>
      <c r="M301" s="564" t="str">
        <f t="shared" si="308"/>
        <v>Emma</v>
      </c>
      <c r="N301" s="565"/>
      <c r="O301" s="565"/>
      <c r="P301" s="566"/>
      <c r="Q301" s="445">
        <f t="shared" si="309"/>
        <v>566.24399999999991</v>
      </c>
      <c r="R301" s="97">
        <f t="shared" si="310"/>
        <v>0.33704999999999996</v>
      </c>
      <c r="S301" s="446"/>
      <c r="T301" s="446"/>
      <c r="W301" s="65" t="s">
        <v>229</v>
      </c>
      <c r="X301" s="66" t="str">
        <f t="shared" si="311"/>
        <v>J</v>
      </c>
      <c r="Y301" s="647" t="str">
        <f t="shared" si="312"/>
        <v>Emma</v>
      </c>
      <c r="Z301" s="647"/>
      <c r="AA301" s="647"/>
      <c r="AB301" s="647"/>
      <c r="AC301" s="80">
        <f t="shared" si="313"/>
        <v>728.74638279518967</v>
      </c>
      <c r="AD301" s="99">
        <f t="shared" si="319"/>
        <v>0.4337776088066605</v>
      </c>
      <c r="AE301" s="446"/>
      <c r="AF301" s="446"/>
      <c r="AI301" s="74" t="s">
        <v>229</v>
      </c>
      <c r="AJ301" s="75" t="str">
        <f t="shared" si="314"/>
        <v>K</v>
      </c>
      <c r="AK301" s="582" t="str">
        <f t="shared" si="315"/>
        <v>Gustavo</v>
      </c>
      <c r="AL301" s="583"/>
      <c r="AM301" s="583"/>
      <c r="AN301" s="584"/>
      <c r="AO301" s="82">
        <f t="shared" si="316"/>
        <v>524.26499999999999</v>
      </c>
      <c r="AP301" s="105">
        <f t="shared" si="320"/>
        <v>0.31206249999999996</v>
      </c>
      <c r="AQ301" s="446"/>
      <c r="AR301" s="446"/>
      <c r="AU301" s="173" t="s">
        <v>229</v>
      </c>
      <c r="AV301" s="174" t="str">
        <f t="shared" si="317"/>
        <v>D</v>
      </c>
      <c r="AW301" s="478" t="str">
        <f t="shared" si="318"/>
        <v>Alessandro</v>
      </c>
      <c r="AX301" s="479"/>
      <c r="AY301" s="479"/>
      <c r="AZ301" s="480"/>
      <c r="BA301" s="808">
        <f t="shared" si="321"/>
        <v>629.28</v>
      </c>
      <c r="BB301" s="182">
        <f t="shared" si="322"/>
        <v>0.37457142857142856</v>
      </c>
      <c r="BC301" s="804"/>
      <c r="BD301" s="804"/>
    </row>
    <row r="302" spans="2:58" x14ac:dyDescent="0.3">
      <c r="K302" s="56" t="s">
        <v>230</v>
      </c>
      <c r="L302" s="57" t="str">
        <f t="shared" si="307"/>
        <v>K</v>
      </c>
      <c r="M302" s="564" t="str">
        <f t="shared" si="308"/>
        <v>Gustavo</v>
      </c>
      <c r="N302" s="565"/>
      <c r="O302" s="565"/>
      <c r="P302" s="566"/>
      <c r="Q302" s="445">
        <f t="shared" si="309"/>
        <v>545.28600000000006</v>
      </c>
      <c r="R302" s="97">
        <f t="shared" si="310"/>
        <v>0.32457500000000006</v>
      </c>
      <c r="S302" s="446"/>
      <c r="T302" s="446"/>
      <c r="W302" s="65" t="s">
        <v>230</v>
      </c>
      <c r="X302" s="66" t="str">
        <f t="shared" si="311"/>
        <v>B</v>
      </c>
      <c r="Y302" s="647" t="str">
        <f t="shared" si="312"/>
        <v>Stefano</v>
      </c>
      <c r="Z302" s="647"/>
      <c r="AA302" s="647"/>
      <c r="AB302" s="647"/>
      <c r="AC302" s="80">
        <f t="shared" si="313"/>
        <v>709.1274085057139</v>
      </c>
      <c r="AD302" s="99">
        <f t="shared" si="319"/>
        <v>0.42209964792006782</v>
      </c>
      <c r="AE302" s="446"/>
      <c r="AF302" s="446"/>
      <c r="AI302" s="74" t="s">
        <v>230</v>
      </c>
      <c r="AJ302" s="75" t="str">
        <f t="shared" si="314"/>
        <v>G</v>
      </c>
      <c r="AK302" s="582" t="str">
        <f t="shared" si="315"/>
        <v>Gianluca</v>
      </c>
      <c r="AL302" s="583"/>
      <c r="AM302" s="583"/>
      <c r="AN302" s="584"/>
      <c r="AO302" s="82">
        <f t="shared" si="316"/>
        <v>509.35500000000002</v>
      </c>
      <c r="AP302" s="105">
        <f t="shared" si="320"/>
        <v>0.3031875</v>
      </c>
      <c r="AQ302" s="446"/>
      <c r="AR302" s="446"/>
      <c r="AU302" s="173" t="s">
        <v>230</v>
      </c>
      <c r="AV302" s="174" t="str">
        <f t="shared" si="317"/>
        <v>B</v>
      </c>
      <c r="AW302" s="478" t="str">
        <f t="shared" si="318"/>
        <v>Stefano</v>
      </c>
      <c r="AX302" s="479"/>
      <c r="AY302" s="479"/>
      <c r="AZ302" s="480"/>
      <c r="BA302" s="808">
        <f t="shared" si="321"/>
        <v>569.4</v>
      </c>
      <c r="BB302" s="182">
        <f t="shared" si="322"/>
        <v>0.33892857142857141</v>
      </c>
      <c r="BC302" s="804"/>
      <c r="BD302" s="804"/>
    </row>
    <row r="303" spans="2:58" x14ac:dyDescent="0.3">
      <c r="K303" s="56" t="s">
        <v>231</v>
      </c>
      <c r="L303" s="57" t="str">
        <f t="shared" si="307"/>
        <v>E</v>
      </c>
      <c r="M303" s="564" t="str">
        <f t="shared" si="308"/>
        <v>Alberto</v>
      </c>
      <c r="N303" s="565"/>
      <c r="O303" s="565"/>
      <c r="P303" s="566"/>
      <c r="Q303" s="445">
        <f t="shared" si="309"/>
        <v>482.26499999999999</v>
      </c>
      <c r="R303" s="97">
        <f t="shared" si="310"/>
        <v>0.2870625</v>
      </c>
      <c r="S303" s="446"/>
      <c r="T303" s="446"/>
      <c r="W303" s="65" t="s">
        <v>231</v>
      </c>
      <c r="X303" s="66" t="str">
        <f t="shared" si="311"/>
        <v>I</v>
      </c>
      <c r="Y303" s="647" t="str">
        <f t="shared" si="312"/>
        <v>Matheus</v>
      </c>
      <c r="Z303" s="647"/>
      <c r="AA303" s="647"/>
      <c r="AB303" s="647"/>
      <c r="AC303" s="80">
        <f t="shared" si="313"/>
        <v>697.07730146265874</v>
      </c>
      <c r="AD303" s="99">
        <f t="shared" si="319"/>
        <v>0.41492696515634447</v>
      </c>
      <c r="AE303" s="446"/>
      <c r="AF303" s="446"/>
      <c r="AI303" s="74" t="s">
        <v>231</v>
      </c>
      <c r="AJ303" s="75" t="str">
        <f t="shared" si="314"/>
        <v>A</v>
      </c>
      <c r="AK303" s="582" t="str">
        <f t="shared" si="315"/>
        <v>Gianni</v>
      </c>
      <c r="AL303" s="583"/>
      <c r="AM303" s="583"/>
      <c r="AN303" s="584"/>
      <c r="AO303" s="82">
        <f t="shared" si="316"/>
        <v>404.32499999999999</v>
      </c>
      <c r="AP303" s="105">
        <f t="shared" si="320"/>
        <v>0.24066964285714285</v>
      </c>
      <c r="AQ303" s="446"/>
      <c r="AR303" s="446"/>
      <c r="AU303" s="173" t="s">
        <v>231</v>
      </c>
      <c r="AV303" s="174" t="str">
        <f t="shared" si="317"/>
        <v>G</v>
      </c>
      <c r="AW303" s="478" t="str">
        <f t="shared" si="318"/>
        <v>Gianluca</v>
      </c>
      <c r="AX303" s="479"/>
      <c r="AY303" s="479"/>
      <c r="AZ303" s="480"/>
      <c r="BA303" s="808">
        <f t="shared" si="321"/>
        <v>569.28</v>
      </c>
      <c r="BB303" s="182">
        <f t="shared" si="322"/>
        <v>0.33885714285714286</v>
      </c>
      <c r="BC303" s="804"/>
      <c r="BD303" s="804"/>
    </row>
    <row r="304" spans="2:58" x14ac:dyDescent="0.3">
      <c r="K304" s="56" t="s">
        <v>232</v>
      </c>
      <c r="L304" s="57" t="str">
        <f t="shared" si="307"/>
        <v>L</v>
      </c>
      <c r="M304" s="564" t="str">
        <f t="shared" si="308"/>
        <v>Valentino</v>
      </c>
      <c r="N304" s="565"/>
      <c r="O304" s="565"/>
      <c r="P304" s="566"/>
      <c r="Q304" s="445">
        <f t="shared" si="309"/>
        <v>461.30699999999996</v>
      </c>
      <c r="R304" s="97">
        <f t="shared" si="310"/>
        <v>0.27458749999999998</v>
      </c>
      <c r="S304" s="446"/>
      <c r="T304" s="446"/>
      <c r="W304" s="65" t="s">
        <v>232</v>
      </c>
      <c r="X304" s="66" t="str">
        <f t="shared" si="311"/>
        <v>K</v>
      </c>
      <c r="Y304" s="647" t="str">
        <f t="shared" si="312"/>
        <v>Gustavo</v>
      </c>
      <c r="Z304" s="647"/>
      <c r="AA304" s="647"/>
      <c r="AB304" s="647"/>
      <c r="AC304" s="80">
        <f t="shared" si="313"/>
        <v>689.51989408851637</v>
      </c>
      <c r="AD304" s="99">
        <f t="shared" si="319"/>
        <v>0.41042850838602163</v>
      </c>
      <c r="AE304" s="446"/>
      <c r="AF304" s="446"/>
      <c r="AI304" s="74" t="s">
        <v>232</v>
      </c>
      <c r="AJ304" s="75" t="str">
        <f t="shared" si="314"/>
        <v>L</v>
      </c>
      <c r="AK304" s="582" t="str">
        <f t="shared" si="315"/>
        <v>Valentino</v>
      </c>
      <c r="AL304" s="583"/>
      <c r="AM304" s="583"/>
      <c r="AN304" s="584"/>
      <c r="AO304" s="82">
        <f t="shared" si="316"/>
        <v>344.15999999999997</v>
      </c>
      <c r="AP304" s="105">
        <f t="shared" si="320"/>
        <v>0.20485714285714285</v>
      </c>
      <c r="AQ304" s="446"/>
      <c r="AR304" s="446"/>
      <c r="AU304" s="173" t="s">
        <v>232</v>
      </c>
      <c r="AV304" s="174" t="str">
        <f t="shared" si="317"/>
        <v>E</v>
      </c>
      <c r="AW304" s="478" t="str">
        <f t="shared" si="318"/>
        <v>Alberto</v>
      </c>
      <c r="AX304" s="479"/>
      <c r="AY304" s="479"/>
      <c r="AZ304" s="480"/>
      <c r="BA304" s="808">
        <f t="shared" si="321"/>
        <v>479.15999999999997</v>
      </c>
      <c r="BB304" s="182">
        <f>$BA304/1680</f>
        <v>0.2852142857142857</v>
      </c>
      <c r="BC304" s="804"/>
      <c r="BD304" s="804"/>
    </row>
    <row r="305" spans="11:56" ht="14.5" thickBot="1" x14ac:dyDescent="0.35">
      <c r="K305" s="59" t="s">
        <v>233</v>
      </c>
      <c r="L305" s="60" t="str">
        <f t="shared" si="307"/>
        <v>A</v>
      </c>
      <c r="M305" s="567" t="str">
        <f t="shared" si="308"/>
        <v>Gianni</v>
      </c>
      <c r="N305" s="568"/>
      <c r="O305" s="568"/>
      <c r="P305" s="569"/>
      <c r="Q305" s="461">
        <f t="shared" si="309"/>
        <v>440.18099999999998</v>
      </c>
      <c r="R305" s="98">
        <f t="shared" si="310"/>
        <v>0.26201249999999998</v>
      </c>
      <c r="S305" s="446"/>
      <c r="T305" s="446"/>
      <c r="W305" s="68" t="s">
        <v>233</v>
      </c>
      <c r="X305" s="69" t="str">
        <f t="shared" si="311"/>
        <v>H</v>
      </c>
      <c r="Y305" s="659" t="str">
        <f t="shared" si="312"/>
        <v>Claudia</v>
      </c>
      <c r="Z305" s="660"/>
      <c r="AA305" s="660"/>
      <c r="AB305" s="661"/>
      <c r="AC305" s="81">
        <f t="shared" si="313"/>
        <v>682.954496912595</v>
      </c>
      <c r="AD305" s="100">
        <f t="shared" si="319"/>
        <v>0.40652053387654463</v>
      </c>
      <c r="AE305" s="446"/>
      <c r="AF305" s="446"/>
      <c r="AI305" s="77" t="s">
        <v>233</v>
      </c>
      <c r="AJ305" s="83" t="str">
        <f t="shared" si="314"/>
        <v>J</v>
      </c>
      <c r="AK305" s="530" t="str">
        <f t="shared" si="315"/>
        <v>Emma</v>
      </c>
      <c r="AL305" s="531"/>
      <c r="AM305" s="531"/>
      <c r="AN305" s="532"/>
      <c r="AO305" s="84">
        <f t="shared" si="316"/>
        <v>269.15999999999997</v>
      </c>
      <c r="AP305" s="106">
        <f t="shared" si="320"/>
        <v>0.1602142857142857</v>
      </c>
      <c r="AQ305" s="446"/>
      <c r="AR305" s="446"/>
      <c r="AU305" s="175" t="s">
        <v>233</v>
      </c>
      <c r="AV305" s="176" t="str">
        <f t="shared" si="317"/>
        <v>L</v>
      </c>
      <c r="AW305" s="481" t="str">
        <f t="shared" si="318"/>
        <v>Valentino</v>
      </c>
      <c r="AX305" s="482"/>
      <c r="AY305" s="482"/>
      <c r="AZ305" s="483"/>
      <c r="BA305" s="809">
        <f t="shared" si="321"/>
        <v>449.15999999999997</v>
      </c>
      <c r="BB305" s="183">
        <f t="shared" si="322"/>
        <v>0.26735714285714285</v>
      </c>
      <c r="BC305" s="804"/>
      <c r="BD305" s="804"/>
    </row>
    <row r="309" spans="11:56" ht="14.5" thickBot="1" x14ac:dyDescent="0.35"/>
    <row r="310" spans="11:56" ht="35" thickBot="1" x14ac:dyDescent="0.7">
      <c r="X310" s="421"/>
      <c r="AC310" s="654" t="s">
        <v>234</v>
      </c>
      <c r="AD310" s="655"/>
      <c r="AE310" s="655"/>
      <c r="AF310" s="655"/>
      <c r="AG310" s="655"/>
      <c r="AH310" s="655"/>
      <c r="AI310" s="655"/>
      <c r="AJ310" s="655"/>
    </row>
    <row r="311" spans="11:56" x14ac:dyDescent="0.3">
      <c r="AC311" s="394" t="s">
        <v>213</v>
      </c>
      <c r="AD311" s="395" t="str">
        <f t="shared" ref="AD311:AD322" si="323">IF(TEXT(K$289,"#")=MID(K294,1,LEN(K294)-1),K$13,IF(TEXT(O$289,"#")=MID(K294,1,LEN(K294)-1),O$13,IF(TEXT(S$289,"#")=MID(K294,1,LEN(K294)-1),S$13,IF(TEXT(W$289,"#")=MID(K294,1,LEN(K294)-1),W$13,IF(TEXT(AA$289,"#")=MID(K294,1,LEN(K294)-1),AA$13,IF(TEXT(AE$289,"#")=MID(K294,1,LEN(K294)-1),AE$13,IF(TEXT(AI$289,"#")=MID(K294,1,LEN(K294)-1),AI$13,IF(TEXT(AM$289,"#")=MID(K294,1,LEN(K294)-1),AM$13,IF(TEXT(AQ$289,"#")=MID(K294,1,LEN(K294)-1),AQ$13,IF(TEXT(AU$289,"#")=MID(K294,1,LEN(K294)-1),AU$13,IF(TEXT(AY$289,"#")=MID(K294,1,LEN(K294)-1),AY$13,IF(TEXT(BC$289,"#")=MID(K294,1,LEN(K294)-1),BC$13,""))))))))))))</f>
        <v>C</v>
      </c>
      <c r="AE311" s="656" t="str">
        <f t="shared" ref="AE311:AE322" si="324">IF(TEXT(K$289,"#")=MID(K294,1,LEN(K294)-1),K$14,IF(TEXT(O$289,"#")=MID(K294,1,LEN(K294)-1),O$14,IF(TEXT(S$289,"#")=MID(K294,1,LEN(K294)-1),S$14,IF(TEXT(W$289,"#")=MID(K294,1,LEN(K294)-1),W$14,IF(TEXT(AA$289,"#")=MID(K294,1,LEN(K294)-1),AA$14,IF(TEXT(AE$289,"#")=MID(K294,1,LEN(K294)-1),AE$14,IF(TEXT(AI$289,"#")=MID(K294,1,LEN(K294)-1),AI$14,IF(TEXT(AM$289,"#")=MID(K294,1,LEN(K294)-1),AM$14,IF(TEXT(AQ$289,"#")=MID(K294,1,LEN(K294)-1),AQ$14,IF(TEXT(AU$289,"#")=MID(K294,1,LEN(K294)-1),AU$14,IF(TEXT(AY$289,"#")=MID(K294,1,LEN(K294)-1),AY$14,IF(TEXT(BC$289,"#")=MID(K294,1,LEN(K294)-1),BC$14,""))))))))))))</f>
        <v>Pietro</v>
      </c>
      <c r="AF311" s="657"/>
      <c r="AG311" s="657"/>
      <c r="AH311" s="658"/>
      <c r="AI311" s="396">
        <f>IF(TEXT(K$289,"#")=MID(K294,1,LEN(K294)-1),K$275,IF(TEXT(O$289,"#")=MID(K294,1,LEN(K294)-1),O$275,IF(TEXT(S$289,"#")=MID(K294,1,LEN(K294)-1),S$275,IF(TEXT(W$289,"#")=MID(K294,1,LEN(K294)-1),W$275,IF(TEXT(AA$289,"#")=MID(K294,1,LEN(K294)-1),AA$275,IF(TEXT(AE$289,"#")=MID(K294,1,LEN(K294)-1),AE$275,IF(TEXT(AI$289,"#")=MID(K294,1,LEN(K294)-1),AI$275,IF(TEXT(AM$289,"#")=MID(K294,1,LEN(K294)-1),AM$275,IF(TEXT(AQ$289,"#")=MID(K294,1,LEN(K294)-1),AQ$275,IF(TEXT(AU$289,"#")=MID(K294,1,LEN(K294)-1),AU$275,IF(TEXT(AY$289,"#")=MID(K294,1,LEN(K294)-1),AY$275,IF(TEXT(BC$289,"#")=MID(K294,1,LEN(K294)-1),BC$275,""))))))))))))</f>
        <v>5708.5203858536579</v>
      </c>
      <c r="AJ311" s="397">
        <f t="shared" ref="AJ311:AK322" si="325">$AI311/(1680*4)</f>
        <v>0.84948220027584198</v>
      </c>
    </row>
    <row r="312" spans="11:56" x14ac:dyDescent="0.3">
      <c r="AC312" s="398" t="s">
        <v>214</v>
      </c>
      <c r="AD312" s="399" t="str">
        <f t="shared" si="323"/>
        <v>D</v>
      </c>
      <c r="AE312" s="638" t="str">
        <f t="shared" si="324"/>
        <v>Alessandro</v>
      </c>
      <c r="AF312" s="639"/>
      <c r="AG312" s="639"/>
      <c r="AH312" s="640"/>
      <c r="AI312" s="400">
        <f t="shared" ref="AI312:AI322" si="326">IF(TEXT(K$289,"#")=MID(K295,1,LEN(K295)-1),K$275,IF(TEXT(O$289,"#")=MID(K295,1,LEN(K295)-1),O$275,IF(TEXT(S$289,"#")=MID(K295,1,LEN(K295)-1),S$275,IF(TEXT(W$289,"#")=MID(K295,1,LEN(K295)-1),W$275,IF(TEXT(AA$289,"#")=MID(K295,1,LEN(K295)-1),AA$275,IF(TEXT(AE$289,"#")=MID(K295,1,LEN(K295)-1),AE$275,IF(TEXT(AI$289,"#")=MID(K295,1,LEN(K295)-1),AI$275,IF(TEXT(AM$289,"#")=MID(K295,1,LEN(K295)-1),AM$275,IF(TEXT(AQ$289,"#")=MID(K295,1,LEN(K295)-1),AQ$275,IF(TEXT(AU$289,"#")=MID(K295,1,LEN(K295)-1),AU$275,IF(TEXT(AY$289,"#")=MID(K295,1,LEN(K295)-1),AY$275,IF(TEXT(BC$289,"#")=MID(K295,1,LEN(K295)-1),BC$275,""))))))))))))</f>
        <v>4806.6056153846148</v>
      </c>
      <c r="AJ312" s="401">
        <f t="shared" si="325"/>
        <v>0.7152686927655677</v>
      </c>
    </row>
    <row r="313" spans="11:56" x14ac:dyDescent="0.3">
      <c r="AC313" s="398" t="s">
        <v>215</v>
      </c>
      <c r="AD313" s="399" t="str">
        <f t="shared" si="323"/>
        <v>F</v>
      </c>
      <c r="AE313" s="638" t="str">
        <f t="shared" si="324"/>
        <v>Massimo</v>
      </c>
      <c r="AF313" s="639"/>
      <c r="AG313" s="639"/>
      <c r="AH313" s="640"/>
      <c r="AI313" s="400">
        <f t="shared" si="326"/>
        <v>4647.9200200000005</v>
      </c>
      <c r="AJ313" s="401">
        <f t="shared" si="325"/>
        <v>0.69165476488095246</v>
      </c>
    </row>
    <row r="314" spans="11:56" x14ac:dyDescent="0.3">
      <c r="AC314" s="398" t="s">
        <v>216</v>
      </c>
      <c r="AD314" s="399" t="str">
        <f t="shared" si="323"/>
        <v>B</v>
      </c>
      <c r="AE314" s="638" t="str">
        <f t="shared" si="324"/>
        <v>Stefano</v>
      </c>
      <c r="AF314" s="639"/>
      <c r="AG314" s="639"/>
      <c r="AH314" s="640"/>
      <c r="AI314" s="400">
        <f t="shared" si="326"/>
        <v>4512.4814085057133</v>
      </c>
      <c r="AJ314" s="401">
        <f t="shared" si="325"/>
        <v>0.67150020959906442</v>
      </c>
    </row>
    <row r="315" spans="11:56" x14ac:dyDescent="0.3">
      <c r="AC315" s="398" t="s">
        <v>217</v>
      </c>
      <c r="AD315" s="399" t="str">
        <f t="shared" si="323"/>
        <v>G</v>
      </c>
      <c r="AE315" s="638" t="str">
        <f t="shared" si="324"/>
        <v>Gianluca</v>
      </c>
      <c r="AF315" s="639"/>
      <c r="AG315" s="639"/>
      <c r="AH315" s="640"/>
      <c r="AI315" s="400">
        <f t="shared" si="326"/>
        <v>3528.6120000000001</v>
      </c>
      <c r="AJ315" s="401">
        <f t="shared" si="325"/>
        <v>0.52509107142857148</v>
      </c>
    </row>
    <row r="316" spans="11:56" x14ac:dyDescent="0.3">
      <c r="AC316" s="398" t="s">
        <v>218</v>
      </c>
      <c r="AD316" s="399" t="str">
        <f t="shared" si="323"/>
        <v>H</v>
      </c>
      <c r="AE316" s="638" t="str">
        <f t="shared" si="324"/>
        <v>Claudia</v>
      </c>
      <c r="AF316" s="639"/>
      <c r="AG316" s="639"/>
      <c r="AH316" s="640"/>
      <c r="AI316" s="400">
        <f t="shared" si="326"/>
        <v>3510.1185129125947</v>
      </c>
      <c r="AJ316" s="401">
        <f t="shared" si="325"/>
        <v>0.52233906442151712</v>
      </c>
    </row>
    <row r="317" spans="11:56" x14ac:dyDescent="0.3">
      <c r="AC317" s="398" t="s">
        <v>228</v>
      </c>
      <c r="AD317" s="399" t="str">
        <f t="shared" si="323"/>
        <v>E</v>
      </c>
      <c r="AE317" s="638" t="str">
        <f t="shared" si="324"/>
        <v>Alberto</v>
      </c>
      <c r="AF317" s="639"/>
      <c r="AG317" s="639"/>
      <c r="AH317" s="640"/>
      <c r="AI317" s="400">
        <f t="shared" si="326"/>
        <v>3270.8399999999997</v>
      </c>
      <c r="AJ317" s="401">
        <f t="shared" si="325"/>
        <v>0.48673214285714284</v>
      </c>
    </row>
    <row r="318" spans="11:56" x14ac:dyDescent="0.3">
      <c r="AC318" s="398" t="s">
        <v>229</v>
      </c>
      <c r="AD318" s="399" t="str">
        <f t="shared" si="323"/>
        <v>J</v>
      </c>
      <c r="AE318" s="638" t="str">
        <f t="shared" si="324"/>
        <v>Emma</v>
      </c>
      <c r="AF318" s="639"/>
      <c r="AG318" s="639"/>
      <c r="AH318" s="640"/>
      <c r="AI318" s="400">
        <f t="shared" si="326"/>
        <v>3048.1244057951899</v>
      </c>
      <c r="AJ318" s="401">
        <f t="shared" si="325"/>
        <v>0.45358994133856995</v>
      </c>
    </row>
    <row r="319" spans="11:56" x14ac:dyDescent="0.3">
      <c r="AC319" s="398" t="s">
        <v>230</v>
      </c>
      <c r="AD319" s="399" t="str">
        <f t="shared" si="323"/>
        <v>K</v>
      </c>
      <c r="AE319" s="638" t="str">
        <f t="shared" si="324"/>
        <v>Gustavo</v>
      </c>
      <c r="AF319" s="639"/>
      <c r="AG319" s="639"/>
      <c r="AH319" s="640"/>
      <c r="AI319" s="400">
        <f t="shared" si="326"/>
        <v>2959.0449110885165</v>
      </c>
      <c r="AJ319" s="401">
        <f t="shared" si="325"/>
        <v>0.44033406415007686</v>
      </c>
    </row>
    <row r="320" spans="11:56" x14ac:dyDescent="0.3">
      <c r="AC320" s="398" t="s">
        <v>231</v>
      </c>
      <c r="AD320" s="399" t="str">
        <f t="shared" si="323"/>
        <v>I</v>
      </c>
      <c r="AE320" s="638" t="str">
        <f t="shared" si="324"/>
        <v>Matheus</v>
      </c>
      <c r="AF320" s="639"/>
      <c r="AG320" s="639"/>
      <c r="AH320" s="640"/>
      <c r="AI320" s="400">
        <f t="shared" si="326"/>
        <v>2848.7373014626592</v>
      </c>
      <c r="AJ320" s="401">
        <f t="shared" si="325"/>
        <v>0.4239192412890862</v>
      </c>
    </row>
    <row r="321" spans="29:36" x14ac:dyDescent="0.3">
      <c r="AC321" s="398" t="s">
        <v>232</v>
      </c>
      <c r="AD321" s="399" t="str">
        <f t="shared" si="323"/>
        <v>A</v>
      </c>
      <c r="AE321" s="638" t="str">
        <f t="shared" si="324"/>
        <v>Gianni</v>
      </c>
      <c r="AF321" s="639"/>
      <c r="AG321" s="639"/>
      <c r="AH321" s="640"/>
      <c r="AI321" s="400">
        <f t="shared" si="326"/>
        <v>2791.9830200000001</v>
      </c>
      <c r="AJ321" s="401">
        <f t="shared" si="325"/>
        <v>0.41547366369047622</v>
      </c>
    </row>
    <row r="322" spans="29:36" ht="14.5" thickBot="1" x14ac:dyDescent="0.35">
      <c r="AC322" s="402" t="s">
        <v>233</v>
      </c>
      <c r="AD322" s="403" t="str">
        <f t="shared" si="323"/>
        <v>L</v>
      </c>
      <c r="AE322" s="641" t="str">
        <f t="shared" si="324"/>
        <v>Valentino</v>
      </c>
      <c r="AF322" s="642"/>
      <c r="AG322" s="642"/>
      <c r="AH322" s="643"/>
      <c r="AI322" s="404">
        <f t="shared" si="326"/>
        <v>2012.1768873306319</v>
      </c>
      <c r="AJ322" s="405">
        <f t="shared" si="325"/>
        <v>0.29943108442420119</v>
      </c>
    </row>
  </sheetData>
  <mergeCells count="588">
    <mergeCell ref="K293:R293"/>
    <mergeCell ref="W293:AD293"/>
    <mergeCell ref="AI293:AP293"/>
    <mergeCell ref="AU293:BB293"/>
    <mergeCell ref="AC310:AJ310"/>
    <mergeCell ref="AI253:AM253"/>
    <mergeCell ref="AO164:AP164"/>
    <mergeCell ref="AO165:AP165"/>
    <mergeCell ref="AO166:AP166"/>
    <mergeCell ref="AO167:AP167"/>
    <mergeCell ref="AO168:AP168"/>
    <mergeCell ref="AO169:AP169"/>
    <mergeCell ref="W165:X165"/>
    <mergeCell ref="W166:X166"/>
    <mergeCell ref="W167:X167"/>
    <mergeCell ref="W168:X168"/>
    <mergeCell ref="W169:X169"/>
    <mergeCell ref="AF164:AG164"/>
    <mergeCell ref="AF165:AG165"/>
    <mergeCell ref="AF166:AG166"/>
    <mergeCell ref="AF167:AG167"/>
    <mergeCell ref="AF168:AG168"/>
    <mergeCell ref="AF169:AG169"/>
    <mergeCell ref="D96:D103"/>
    <mergeCell ref="E96:F96"/>
    <mergeCell ref="E97:F97"/>
    <mergeCell ref="E98:F98"/>
    <mergeCell ref="D104:D111"/>
    <mergeCell ref="D112:D119"/>
    <mergeCell ref="D120:D127"/>
    <mergeCell ref="D128:D135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00:F100"/>
    <mergeCell ref="E101:F101"/>
    <mergeCell ref="E113:F113"/>
    <mergeCell ref="E114:F114"/>
    <mergeCell ref="E115:F115"/>
    <mergeCell ref="E116:F116"/>
    <mergeCell ref="C137:J137"/>
    <mergeCell ref="C136:J136"/>
    <mergeCell ref="D80:D87"/>
    <mergeCell ref="D88:D95"/>
    <mergeCell ref="E69:F69"/>
    <mergeCell ref="E70:F70"/>
    <mergeCell ref="E71:F71"/>
    <mergeCell ref="E72:F72"/>
    <mergeCell ref="E73:F73"/>
    <mergeCell ref="E102:F102"/>
    <mergeCell ref="E103:F103"/>
    <mergeCell ref="E104:F104"/>
    <mergeCell ref="E105:F105"/>
    <mergeCell ref="E106:F106"/>
    <mergeCell ref="E108:F10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84:F84"/>
    <mergeCell ref="E85:F85"/>
    <mergeCell ref="E86:F86"/>
    <mergeCell ref="E87:F87"/>
    <mergeCell ref="E88:F88"/>
    <mergeCell ref="E109:F109"/>
    <mergeCell ref="E110:F110"/>
    <mergeCell ref="E111:F111"/>
    <mergeCell ref="E112:F112"/>
    <mergeCell ref="E89:F89"/>
    <mergeCell ref="E90:F90"/>
    <mergeCell ref="E91:F91"/>
    <mergeCell ref="E92:F92"/>
    <mergeCell ref="E93:F93"/>
    <mergeCell ref="E94:F94"/>
    <mergeCell ref="E95:F95"/>
    <mergeCell ref="E99:F99"/>
    <mergeCell ref="E107:F107"/>
    <mergeCell ref="E56:F56"/>
    <mergeCell ref="E57:F57"/>
    <mergeCell ref="E58:F58"/>
    <mergeCell ref="E59:F59"/>
    <mergeCell ref="E60:F60"/>
    <mergeCell ref="E61:F61"/>
    <mergeCell ref="E62:F62"/>
    <mergeCell ref="D64:D71"/>
    <mergeCell ref="D72:D79"/>
    <mergeCell ref="E75:F75"/>
    <mergeCell ref="E76:F76"/>
    <mergeCell ref="E77:F77"/>
    <mergeCell ref="E78:F78"/>
    <mergeCell ref="D56:D63"/>
    <mergeCell ref="E79:F79"/>
    <mergeCell ref="BC14:BF14"/>
    <mergeCell ref="D48:D55"/>
    <mergeCell ref="E48:F48"/>
    <mergeCell ref="E49:F49"/>
    <mergeCell ref="E51:F51"/>
    <mergeCell ref="E52:F52"/>
    <mergeCell ref="E53:F53"/>
    <mergeCell ref="E54:F54"/>
    <mergeCell ref="E55:F55"/>
    <mergeCell ref="E20:F20"/>
    <mergeCell ref="E21:F21"/>
    <mergeCell ref="E22:F22"/>
    <mergeCell ref="E23:F23"/>
    <mergeCell ref="K14:N14"/>
    <mergeCell ref="O14:R14"/>
    <mergeCell ref="S14:V14"/>
    <mergeCell ref="W14:Z14"/>
    <mergeCell ref="AA14:AD14"/>
    <mergeCell ref="AE14:AH14"/>
    <mergeCell ref="E29:F29"/>
    <mergeCell ref="E30:F30"/>
    <mergeCell ref="E31:F31"/>
    <mergeCell ref="B176:B241"/>
    <mergeCell ref="AI14:AL14"/>
    <mergeCell ref="AM14:AP14"/>
    <mergeCell ref="AY14:BB14"/>
    <mergeCell ref="K12:BF12"/>
    <mergeCell ref="K13:N13"/>
    <mergeCell ref="O13:R13"/>
    <mergeCell ref="S13:V13"/>
    <mergeCell ref="W13:Z13"/>
    <mergeCell ref="AA13:AD13"/>
    <mergeCell ref="AE13:AH13"/>
    <mergeCell ref="AI13:AL13"/>
    <mergeCell ref="AM13:AP13"/>
    <mergeCell ref="AQ13:AT13"/>
    <mergeCell ref="AU13:AX13"/>
    <mergeCell ref="AY13:BB13"/>
    <mergeCell ref="BC13:BF13"/>
    <mergeCell ref="AQ14:AT14"/>
    <mergeCell ref="AU14:AX14"/>
    <mergeCell ref="E74:F74"/>
    <mergeCell ref="E80:F80"/>
    <mergeCell ref="E81:F81"/>
    <mergeCell ref="E82:F82"/>
    <mergeCell ref="E83:F83"/>
    <mergeCell ref="C5:BG5"/>
    <mergeCell ref="C230:D234"/>
    <mergeCell ref="C238:J238"/>
    <mergeCell ref="B271:B289"/>
    <mergeCell ref="D32:D39"/>
    <mergeCell ref="D24:D31"/>
    <mergeCell ref="K163:Q163"/>
    <mergeCell ref="E34:F34"/>
    <mergeCell ref="E35:F35"/>
    <mergeCell ref="E36:F36"/>
    <mergeCell ref="E37:F37"/>
    <mergeCell ref="E38:F38"/>
    <mergeCell ref="E39:F39"/>
    <mergeCell ref="E43:F43"/>
    <mergeCell ref="E44:F44"/>
    <mergeCell ref="E45:F45"/>
    <mergeCell ref="E46:F46"/>
    <mergeCell ref="E32:F32"/>
    <mergeCell ref="E33:F33"/>
    <mergeCell ref="E24:F24"/>
    <mergeCell ref="E25:F25"/>
    <mergeCell ref="AC163:AI163"/>
    <mergeCell ref="B16:B159"/>
    <mergeCell ref="D16:D23"/>
    <mergeCell ref="C7:BG7"/>
    <mergeCell ref="C286:J286"/>
    <mergeCell ref="C280:J280"/>
    <mergeCell ref="K282:N282"/>
    <mergeCell ref="D40:D47"/>
    <mergeCell ref="E47:F47"/>
    <mergeCell ref="E50:F50"/>
    <mergeCell ref="E63:F63"/>
    <mergeCell ref="E64:F64"/>
    <mergeCell ref="E65:F65"/>
    <mergeCell ref="E66:F66"/>
    <mergeCell ref="E67:F67"/>
    <mergeCell ref="E68:F68"/>
    <mergeCell ref="E40:F40"/>
    <mergeCell ref="E41:F41"/>
    <mergeCell ref="E42:F42"/>
    <mergeCell ref="E16:F16"/>
    <mergeCell ref="E17:F17"/>
    <mergeCell ref="E18:F18"/>
    <mergeCell ref="E19:F19"/>
    <mergeCell ref="W164:X164"/>
    <mergeCell ref="E26:F26"/>
    <mergeCell ref="E27:F27"/>
    <mergeCell ref="E28:F28"/>
    <mergeCell ref="AK294:AN294"/>
    <mergeCell ref="M295:P295"/>
    <mergeCell ref="Y295:AB295"/>
    <mergeCell ref="AK295:AN295"/>
    <mergeCell ref="C176:C180"/>
    <mergeCell ref="C181:C185"/>
    <mergeCell ref="C186:C192"/>
    <mergeCell ref="C193:C199"/>
    <mergeCell ref="C200:C206"/>
    <mergeCell ref="C207:C213"/>
    <mergeCell ref="U250:W250"/>
    <mergeCell ref="U251:W251"/>
    <mergeCell ref="E230:J230"/>
    <mergeCell ref="E231:J231"/>
    <mergeCell ref="E232:J232"/>
    <mergeCell ref="E234:J234"/>
    <mergeCell ref="C237:J237"/>
    <mergeCell ref="C239:J239"/>
    <mergeCell ref="C241:J241"/>
    <mergeCell ref="B270:BF270"/>
    <mergeCell ref="K292:BC292"/>
    <mergeCell ref="M246:O246"/>
    <mergeCell ref="M247:O247"/>
    <mergeCell ref="AK299:AN299"/>
    <mergeCell ref="AK302:AN302"/>
    <mergeCell ref="AK301:AN301"/>
    <mergeCell ref="AK300:AN300"/>
    <mergeCell ref="AK303:AN303"/>
    <mergeCell ref="AK304:AN304"/>
    <mergeCell ref="AK305:AN305"/>
    <mergeCell ref="AK297:AN297"/>
    <mergeCell ref="M298:P298"/>
    <mergeCell ref="Y298:AB298"/>
    <mergeCell ref="AK298:AN298"/>
    <mergeCell ref="M302:P302"/>
    <mergeCell ref="M303:P303"/>
    <mergeCell ref="M304:P304"/>
    <mergeCell ref="M305:P305"/>
    <mergeCell ref="Y302:AB302"/>
    <mergeCell ref="Y301:AB301"/>
    <mergeCell ref="Y300:AB300"/>
    <mergeCell ref="Y304:AB304"/>
    <mergeCell ref="Y305:AB305"/>
    <mergeCell ref="M300:P300"/>
    <mergeCell ref="M299:P299"/>
    <mergeCell ref="AK296:AN296"/>
    <mergeCell ref="M297:P297"/>
    <mergeCell ref="Y297:AB297"/>
    <mergeCell ref="Y303:AB303"/>
    <mergeCell ref="C282:J282"/>
    <mergeCell ref="C285:J285"/>
    <mergeCell ref="AE319:AH319"/>
    <mergeCell ref="C287:J287"/>
    <mergeCell ref="C289:J289"/>
    <mergeCell ref="C288:J288"/>
    <mergeCell ref="AI282:AL282"/>
    <mergeCell ref="W285:Z285"/>
    <mergeCell ref="W286:Z286"/>
    <mergeCell ref="W287:Z287"/>
    <mergeCell ref="W288:Z288"/>
    <mergeCell ref="W289:Z289"/>
    <mergeCell ref="AA285:AD285"/>
    <mergeCell ref="AA286:AD286"/>
    <mergeCell ref="AA287:AD287"/>
    <mergeCell ref="AA288:AD288"/>
    <mergeCell ref="AA289:AD289"/>
    <mergeCell ref="AE285:AH285"/>
    <mergeCell ref="AE311:AH311"/>
    <mergeCell ref="C141:I141"/>
    <mergeCell ref="C142:I142"/>
    <mergeCell ref="C143:I143"/>
    <mergeCell ref="C144:I144"/>
    <mergeCell ref="AE320:AH320"/>
    <mergeCell ref="AE321:AH321"/>
    <mergeCell ref="AE322:AH322"/>
    <mergeCell ref="AE317:AH317"/>
    <mergeCell ref="AE318:AH318"/>
    <mergeCell ref="M294:P294"/>
    <mergeCell ref="Y294:AB294"/>
    <mergeCell ref="M301:P301"/>
    <mergeCell ref="M296:P296"/>
    <mergeCell ref="Y296:AB296"/>
    <mergeCell ref="AE312:AH312"/>
    <mergeCell ref="AE313:AH313"/>
    <mergeCell ref="AE314:AH314"/>
    <mergeCell ref="AE315:AH315"/>
    <mergeCell ref="AE316:AH316"/>
    <mergeCell ref="Y299:AB299"/>
    <mergeCell ref="N164:O164"/>
    <mergeCell ref="N165:O165"/>
    <mergeCell ref="C272:J272"/>
    <mergeCell ref="C273:J273"/>
    <mergeCell ref="C275:J275"/>
    <mergeCell ref="C278:J278"/>
    <mergeCell ref="C279:J279"/>
    <mergeCell ref="C145:J145"/>
    <mergeCell ref="C148:J148"/>
    <mergeCell ref="C149:J149"/>
    <mergeCell ref="C150:J150"/>
    <mergeCell ref="C152:J152"/>
    <mergeCell ref="C155:J155"/>
    <mergeCell ref="C156:J156"/>
    <mergeCell ref="K156:N156"/>
    <mergeCell ref="AE155:AH155"/>
    <mergeCell ref="S156:V156"/>
    <mergeCell ref="W156:Z156"/>
    <mergeCell ref="W155:Z155"/>
    <mergeCell ref="C157:J157"/>
    <mergeCell ref="C159:J159"/>
    <mergeCell ref="C271:J271"/>
    <mergeCell ref="K253:O253"/>
    <mergeCell ref="S253:W253"/>
    <mergeCell ref="AA253:AE253"/>
    <mergeCell ref="N166:O166"/>
    <mergeCell ref="N167:O167"/>
    <mergeCell ref="N168:O168"/>
    <mergeCell ref="O156:R156"/>
    <mergeCell ref="O157:R157"/>
    <mergeCell ref="S155:V155"/>
    <mergeCell ref="K145:N145"/>
    <mergeCell ref="AU159:AX159"/>
    <mergeCell ref="O145:R145"/>
    <mergeCell ref="S145:V145"/>
    <mergeCell ref="W145:Z145"/>
    <mergeCell ref="AA145:AD145"/>
    <mergeCell ref="AE145:AH145"/>
    <mergeCell ref="AI145:AL145"/>
    <mergeCell ref="AM145:AP145"/>
    <mergeCell ref="AQ145:AT145"/>
    <mergeCell ref="BC145:BF145"/>
    <mergeCell ref="C151:J151"/>
    <mergeCell ref="K152:N152"/>
    <mergeCell ref="O152:R152"/>
    <mergeCell ref="S152:V152"/>
    <mergeCell ref="W152:Z152"/>
    <mergeCell ref="AA152:AD152"/>
    <mergeCell ref="AE152:AH152"/>
    <mergeCell ref="AI152:AL152"/>
    <mergeCell ref="AM152:AP152"/>
    <mergeCell ref="AQ152:AT152"/>
    <mergeCell ref="AU152:AX152"/>
    <mergeCell ref="AY152:BB152"/>
    <mergeCell ref="BC152:BF152"/>
    <mergeCell ref="AU145:AX145"/>
    <mergeCell ref="AY145:BB145"/>
    <mergeCell ref="AL163:AR163"/>
    <mergeCell ref="O159:R159"/>
    <mergeCell ref="AY159:BB159"/>
    <mergeCell ref="BC159:BF159"/>
    <mergeCell ref="W157:Z157"/>
    <mergeCell ref="AA157:AD157"/>
    <mergeCell ref="AE157:AH157"/>
    <mergeCell ref="W159:Z159"/>
    <mergeCell ref="AA159:AD159"/>
    <mergeCell ref="AE159:AH159"/>
    <mergeCell ref="AI157:AL157"/>
    <mergeCell ref="AM157:AP157"/>
    <mergeCell ref="AQ157:AT157"/>
    <mergeCell ref="AU157:AX157"/>
    <mergeCell ref="AY157:BB157"/>
    <mergeCell ref="BC157:BF157"/>
    <mergeCell ref="BC158:BF158"/>
    <mergeCell ref="AY158:BB158"/>
    <mergeCell ref="AU158:AX158"/>
    <mergeCell ref="AQ158:AT158"/>
    <mergeCell ref="AM158:AP158"/>
    <mergeCell ref="AI158:AL158"/>
    <mergeCell ref="AE158:AH158"/>
    <mergeCell ref="AA158:AD158"/>
    <mergeCell ref="W158:Z158"/>
    <mergeCell ref="AI159:AL159"/>
    <mergeCell ref="AM159:AP159"/>
    <mergeCell ref="AQ159:AT159"/>
    <mergeCell ref="M248:O248"/>
    <mergeCell ref="M249:O249"/>
    <mergeCell ref="M250:O250"/>
    <mergeCell ref="S245:X245"/>
    <mergeCell ref="U246:W246"/>
    <mergeCell ref="U247:W247"/>
    <mergeCell ref="U248:W248"/>
    <mergeCell ref="U249:W249"/>
    <mergeCell ref="AC246:AE246"/>
    <mergeCell ref="AC247:AE247"/>
    <mergeCell ref="AC248:AE248"/>
    <mergeCell ref="AC249:AE249"/>
    <mergeCell ref="AC250:AE250"/>
    <mergeCell ref="AM240:AP240"/>
    <mergeCell ref="AM241:AP241"/>
    <mergeCell ref="AQ237:AT237"/>
    <mergeCell ref="AQ238:AT238"/>
    <mergeCell ref="AQ239:AT239"/>
    <mergeCell ref="AQ240:AT240"/>
    <mergeCell ref="T163:Z163"/>
    <mergeCell ref="K162:AR162"/>
    <mergeCell ref="C96:C135"/>
    <mergeCell ref="K241:N241"/>
    <mergeCell ref="O237:R237"/>
    <mergeCell ref="O238:R238"/>
    <mergeCell ref="O239:R239"/>
    <mergeCell ref="O240:R240"/>
    <mergeCell ref="O241:R241"/>
    <mergeCell ref="S237:V237"/>
    <mergeCell ref="S238:V238"/>
    <mergeCell ref="S239:V239"/>
    <mergeCell ref="S240:V240"/>
    <mergeCell ref="E117:F117"/>
    <mergeCell ref="E118:F118"/>
    <mergeCell ref="K155:N155"/>
    <mergeCell ref="C138:I138"/>
    <mergeCell ref="S157:V157"/>
    <mergeCell ref="S159:V159"/>
    <mergeCell ref="C158:J158"/>
    <mergeCell ref="S158:V158"/>
    <mergeCell ref="O158:R158"/>
    <mergeCell ref="K158:N158"/>
    <mergeCell ref="K157:N157"/>
    <mergeCell ref="K159:N159"/>
    <mergeCell ref="O155:R155"/>
    <mergeCell ref="C56:C95"/>
    <mergeCell ref="C16:C55"/>
    <mergeCell ref="C214:C220"/>
    <mergeCell ref="C221:C227"/>
    <mergeCell ref="B175:BF175"/>
    <mergeCell ref="E233:J233"/>
    <mergeCell ref="C240:J240"/>
    <mergeCell ref="K245:P245"/>
    <mergeCell ref="K240:N240"/>
    <mergeCell ref="AI155:AL155"/>
    <mergeCell ref="AM155:AP155"/>
    <mergeCell ref="AQ155:AT155"/>
    <mergeCell ref="AU155:AX155"/>
    <mergeCell ref="AY155:BB155"/>
    <mergeCell ref="BC155:BF155"/>
    <mergeCell ref="AA156:AD156"/>
    <mergeCell ref="AE156:AH156"/>
    <mergeCell ref="AI156:AL156"/>
    <mergeCell ref="AM156:AP156"/>
    <mergeCell ref="AQ156:AT156"/>
    <mergeCell ref="AU156:AX156"/>
    <mergeCell ref="AY156:BB156"/>
    <mergeCell ref="BC156:BF156"/>
    <mergeCell ref="AA155:AD155"/>
    <mergeCell ref="AC251:AE251"/>
    <mergeCell ref="AA245:AF245"/>
    <mergeCell ref="AI245:AN245"/>
    <mergeCell ref="AK246:AM246"/>
    <mergeCell ref="AK247:AM247"/>
    <mergeCell ref="AK248:AM248"/>
    <mergeCell ref="AK249:AM249"/>
    <mergeCell ref="AK250:AM250"/>
    <mergeCell ref="AK251:AM251"/>
    <mergeCell ref="AQ241:AT241"/>
    <mergeCell ref="AE237:AH237"/>
    <mergeCell ref="AE238:AH238"/>
    <mergeCell ref="AE239:AH239"/>
    <mergeCell ref="AE240:AH240"/>
    <mergeCell ref="AE241:AH241"/>
    <mergeCell ref="AI237:AL237"/>
    <mergeCell ref="AI238:AL238"/>
    <mergeCell ref="AI239:AL239"/>
    <mergeCell ref="AI240:AL240"/>
    <mergeCell ref="AI241:AL241"/>
    <mergeCell ref="BC237:BF237"/>
    <mergeCell ref="BC238:BF238"/>
    <mergeCell ref="BC239:BF239"/>
    <mergeCell ref="BC240:BF240"/>
    <mergeCell ref="BC241:BF241"/>
    <mergeCell ref="AI234:AL234"/>
    <mergeCell ref="AM234:AP234"/>
    <mergeCell ref="AQ234:AT234"/>
    <mergeCell ref="AU234:AX234"/>
    <mergeCell ref="AY234:BB234"/>
    <mergeCell ref="BC234:BF234"/>
    <mergeCell ref="AU237:AX237"/>
    <mergeCell ref="AU238:AX238"/>
    <mergeCell ref="AU239:AX239"/>
    <mergeCell ref="AU240:AX240"/>
    <mergeCell ref="AU241:AX241"/>
    <mergeCell ref="AY237:BB237"/>
    <mergeCell ref="AY238:BB238"/>
    <mergeCell ref="AY239:BB239"/>
    <mergeCell ref="AY240:BB240"/>
    <mergeCell ref="AY241:BB241"/>
    <mergeCell ref="AM237:AP237"/>
    <mergeCell ref="AM238:AP238"/>
    <mergeCell ref="AM239:AP239"/>
    <mergeCell ref="AE234:AH234"/>
    <mergeCell ref="AA234:AD234"/>
    <mergeCell ref="W234:Z234"/>
    <mergeCell ref="S234:V234"/>
    <mergeCell ref="O234:R234"/>
    <mergeCell ref="K234:N234"/>
    <mergeCell ref="C274:J274"/>
    <mergeCell ref="C281:J281"/>
    <mergeCell ref="K275:N275"/>
    <mergeCell ref="S241:V241"/>
    <mergeCell ref="W237:Z237"/>
    <mergeCell ref="W238:Z238"/>
    <mergeCell ref="W239:Z239"/>
    <mergeCell ref="W240:Z240"/>
    <mergeCell ref="W241:Z241"/>
    <mergeCell ref="AA237:AD237"/>
    <mergeCell ref="AA238:AD238"/>
    <mergeCell ref="AA239:AD239"/>
    <mergeCell ref="AA240:AD240"/>
    <mergeCell ref="AA241:AD241"/>
    <mergeCell ref="K244:AN244"/>
    <mergeCell ref="K237:N237"/>
    <mergeCell ref="K238:N238"/>
    <mergeCell ref="K239:N239"/>
    <mergeCell ref="BC275:BF275"/>
    <mergeCell ref="BC282:BF282"/>
    <mergeCell ref="AY282:BB282"/>
    <mergeCell ref="AY275:BB275"/>
    <mergeCell ref="AU275:AX275"/>
    <mergeCell ref="AU282:AX282"/>
    <mergeCell ref="AQ282:AT282"/>
    <mergeCell ref="AQ275:AT275"/>
    <mergeCell ref="AM275:AP275"/>
    <mergeCell ref="AM282:AP282"/>
    <mergeCell ref="AI275:AL275"/>
    <mergeCell ref="AE275:AH275"/>
    <mergeCell ref="AE282:AH282"/>
    <mergeCell ref="AA282:AD282"/>
    <mergeCell ref="AA275:AD275"/>
    <mergeCell ref="W275:Z275"/>
    <mergeCell ref="W282:Z282"/>
    <mergeCell ref="S282:V282"/>
    <mergeCell ref="S275:V275"/>
    <mergeCell ref="O275:R275"/>
    <mergeCell ref="O282:R282"/>
    <mergeCell ref="S285:V285"/>
    <mergeCell ref="S286:V286"/>
    <mergeCell ref="S287:V287"/>
    <mergeCell ref="S288:V288"/>
    <mergeCell ref="S289:V289"/>
    <mergeCell ref="O288:R288"/>
    <mergeCell ref="K288:N288"/>
    <mergeCell ref="K285:N285"/>
    <mergeCell ref="K286:N286"/>
    <mergeCell ref="K287:N287"/>
    <mergeCell ref="O285:R285"/>
    <mergeCell ref="O286:R286"/>
    <mergeCell ref="O287:R287"/>
    <mergeCell ref="O289:R289"/>
    <mergeCell ref="K289:N289"/>
    <mergeCell ref="AQ285:AT285"/>
    <mergeCell ref="AQ286:AT286"/>
    <mergeCell ref="AQ287:AT287"/>
    <mergeCell ref="AQ288:AT288"/>
    <mergeCell ref="AQ289:AT289"/>
    <mergeCell ref="AE286:AH286"/>
    <mergeCell ref="AE287:AH287"/>
    <mergeCell ref="AE288:AH288"/>
    <mergeCell ref="AE289:AH289"/>
    <mergeCell ref="AI285:AL285"/>
    <mergeCell ref="AI286:AL286"/>
    <mergeCell ref="AI287:AL287"/>
    <mergeCell ref="AI288:AL288"/>
    <mergeCell ref="AI289:AL289"/>
    <mergeCell ref="AM285:AP285"/>
    <mergeCell ref="AM286:AP286"/>
    <mergeCell ref="AM287:AP287"/>
    <mergeCell ref="AM288:AP288"/>
    <mergeCell ref="AM289:AP289"/>
    <mergeCell ref="AW305:AZ305"/>
    <mergeCell ref="AW294:AZ294"/>
    <mergeCell ref="AW295:AZ295"/>
    <mergeCell ref="AW296:AZ296"/>
    <mergeCell ref="AW297:AZ297"/>
    <mergeCell ref="AW298:AZ298"/>
    <mergeCell ref="AW299:AZ299"/>
    <mergeCell ref="AW300:AZ300"/>
    <mergeCell ref="AW301:AZ301"/>
    <mergeCell ref="BC285:BF285"/>
    <mergeCell ref="BC286:BF286"/>
    <mergeCell ref="BC287:BF287"/>
    <mergeCell ref="BC288:BF288"/>
    <mergeCell ref="BC289:BF289"/>
    <mergeCell ref="AW302:AZ302"/>
    <mergeCell ref="AW303:AZ303"/>
    <mergeCell ref="AW304:AZ304"/>
    <mergeCell ref="AU285:AX285"/>
    <mergeCell ref="AU286:AX286"/>
    <mergeCell ref="AU287:AX287"/>
    <mergeCell ref="AU288:AX288"/>
    <mergeCell ref="AU289:AX289"/>
    <mergeCell ref="AY285:BB285"/>
    <mergeCell ref="AY286:BB286"/>
    <mergeCell ref="AY287:BB287"/>
    <mergeCell ref="AY288:BB288"/>
    <mergeCell ref="AY289:BB289"/>
  </mergeCells>
  <phoneticPr fontId="17" type="noConversion"/>
  <printOptions horizontalCentered="1"/>
  <pageMargins left="0.19685039370078741" right="0.19685039370078741" top="0.59055118110236227" bottom="0.39370078740157483" header="0.31496062992125984" footer="0.31496062992125984"/>
  <pageSetup paperSize="9" scale="30" orientation="landscape" r:id="rId1"/>
  <rowBreaks count="1" manualBreakCount="1">
    <brk id="252" min="1" max="57" man="1"/>
  </rowBreaks>
  <ignoredErrors>
    <ignoredError sqref="G188 G202 G2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6080-029F-45AB-ADDD-A14BD78F4118}">
  <dimension ref="B2:AB51"/>
  <sheetViews>
    <sheetView topLeftCell="A19" workbookViewId="0">
      <selection activeCell="F8" sqref="F8"/>
    </sheetView>
  </sheetViews>
  <sheetFormatPr defaultRowHeight="14" x14ac:dyDescent="0.3"/>
  <cols>
    <col min="3" max="3" width="13.5" customWidth="1"/>
  </cols>
  <sheetData>
    <row r="2" spans="2:28" ht="14.5" thickBot="1" x14ac:dyDescent="0.35"/>
    <row r="3" spans="2:28" ht="18" customHeight="1" thickBot="1" x14ac:dyDescent="0.35">
      <c r="B3" s="774" t="s">
        <v>70</v>
      </c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6"/>
    </row>
    <row r="4" spans="2:28" ht="19.5" customHeight="1" thickBot="1" x14ac:dyDescent="0.35">
      <c r="B4" s="771" t="s">
        <v>102</v>
      </c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3"/>
    </row>
    <row r="5" spans="2:28" ht="19.5" customHeight="1" thickBot="1" x14ac:dyDescent="0.35">
      <c r="B5" s="766" t="s">
        <v>71</v>
      </c>
      <c r="C5" s="796"/>
      <c r="D5" s="767"/>
      <c r="E5" s="15"/>
      <c r="F5" s="768" t="s">
        <v>72</v>
      </c>
      <c r="G5" s="770"/>
      <c r="H5" s="770"/>
      <c r="I5" s="770"/>
      <c r="J5" s="770"/>
      <c r="K5" s="770"/>
      <c r="L5" s="770"/>
      <c r="M5" s="770"/>
      <c r="N5" s="770"/>
      <c r="O5" s="769"/>
    </row>
    <row r="6" spans="2:28" ht="19.5" customHeight="1" x14ac:dyDescent="0.3">
      <c r="B6" s="797" t="s">
        <v>73</v>
      </c>
      <c r="C6" s="797" t="s">
        <v>74</v>
      </c>
      <c r="D6" s="797" t="s">
        <v>75</v>
      </c>
      <c r="E6" s="783"/>
      <c r="F6" s="764" t="s">
        <v>76</v>
      </c>
      <c r="G6" s="765"/>
      <c r="H6" s="764" t="s">
        <v>77</v>
      </c>
      <c r="I6" s="765"/>
      <c r="J6" s="764" t="s">
        <v>78</v>
      </c>
      <c r="K6" s="765"/>
      <c r="L6" s="764" t="s">
        <v>79</v>
      </c>
      <c r="M6" s="765"/>
      <c r="N6" s="764" t="s">
        <v>172</v>
      </c>
      <c r="O6" s="765"/>
    </row>
    <row r="7" spans="2:28" ht="19.5" customHeight="1" thickBot="1" x14ac:dyDescent="0.35">
      <c r="B7" s="798"/>
      <c r="C7" s="798"/>
      <c r="D7" s="798"/>
      <c r="E7" s="783"/>
      <c r="F7" s="766" t="s">
        <v>133</v>
      </c>
      <c r="G7" s="767"/>
      <c r="H7" s="766" t="s">
        <v>133</v>
      </c>
      <c r="I7" s="767"/>
      <c r="J7" s="766" t="s">
        <v>133</v>
      </c>
      <c r="K7" s="767"/>
      <c r="L7" s="766" t="s">
        <v>133</v>
      </c>
      <c r="M7" s="767"/>
      <c r="N7" s="766" t="s">
        <v>133</v>
      </c>
      <c r="O7" s="767"/>
      <c r="R7" t="s">
        <v>50</v>
      </c>
      <c r="U7" t="s">
        <v>64</v>
      </c>
      <c r="X7" s="8" t="s">
        <v>50</v>
      </c>
      <c r="AA7" t="s">
        <v>64</v>
      </c>
    </row>
    <row r="8" spans="2:28" ht="19.5" customHeight="1" thickBot="1" x14ac:dyDescent="0.35">
      <c r="B8" s="9" t="s">
        <v>17</v>
      </c>
      <c r="C8" s="10" t="s">
        <v>80</v>
      </c>
      <c r="D8" s="17" t="s">
        <v>104</v>
      </c>
      <c r="E8" s="15"/>
      <c r="F8" s="11"/>
      <c r="G8" s="12"/>
      <c r="H8" s="11"/>
      <c r="I8" s="10"/>
      <c r="J8" s="11"/>
      <c r="K8" s="10"/>
      <c r="L8" s="11"/>
      <c r="M8" s="10"/>
      <c r="N8" s="11"/>
      <c r="O8" s="10"/>
      <c r="R8" s="16">
        <v>6</v>
      </c>
      <c r="S8" t="s">
        <v>85</v>
      </c>
      <c r="U8" s="16">
        <v>6</v>
      </c>
      <c r="V8" t="s">
        <v>85</v>
      </c>
      <c r="X8" s="18">
        <v>3</v>
      </c>
      <c r="Y8" t="s">
        <v>85</v>
      </c>
      <c r="AA8" s="16">
        <v>3</v>
      </c>
      <c r="AB8" t="s">
        <v>85</v>
      </c>
    </row>
    <row r="9" spans="2:28" ht="19.5" customHeight="1" thickBot="1" x14ac:dyDescent="0.35">
      <c r="B9" s="9" t="s">
        <v>18</v>
      </c>
      <c r="C9" s="10" t="s">
        <v>81</v>
      </c>
      <c r="D9" s="17" t="s">
        <v>104</v>
      </c>
      <c r="E9" s="15"/>
      <c r="F9" s="11"/>
      <c r="G9" s="10"/>
      <c r="H9" s="11"/>
      <c r="I9" s="10"/>
      <c r="J9" s="11"/>
      <c r="K9" s="10"/>
      <c r="L9" s="11"/>
      <c r="M9" s="10"/>
      <c r="N9" s="11"/>
      <c r="O9" s="10"/>
      <c r="R9" s="16">
        <v>8</v>
      </c>
      <c r="S9" t="s">
        <v>32</v>
      </c>
      <c r="U9" s="16">
        <f>R9/R10*U10</f>
        <v>5.6000000000000005</v>
      </c>
      <c r="V9" t="s">
        <v>32</v>
      </c>
      <c r="X9" s="18">
        <v>8</v>
      </c>
      <c r="Y9" t="s">
        <v>32</v>
      </c>
      <c r="AA9" s="16">
        <f>X9/X10*AA10</f>
        <v>5.6000000000000005</v>
      </c>
      <c r="AB9" t="s">
        <v>32</v>
      </c>
    </row>
    <row r="10" spans="2:28" ht="19.5" customHeight="1" thickBot="1" x14ac:dyDescent="0.35">
      <c r="B10" s="9" t="s">
        <v>19</v>
      </c>
      <c r="C10" s="10" t="s">
        <v>82</v>
      </c>
      <c r="D10" s="17" t="s">
        <v>104</v>
      </c>
      <c r="E10" s="15"/>
      <c r="F10" s="11"/>
      <c r="G10" s="10"/>
      <c r="H10" s="11"/>
      <c r="I10" s="10"/>
      <c r="J10" s="11"/>
      <c r="K10" s="10"/>
      <c r="L10" s="11"/>
      <c r="M10" s="10"/>
      <c r="N10" s="11"/>
      <c r="O10" s="10"/>
      <c r="R10" s="16">
        <v>10</v>
      </c>
      <c r="S10" t="s">
        <v>86</v>
      </c>
      <c r="U10" s="16">
        <v>7</v>
      </c>
      <c r="V10" t="s">
        <v>86</v>
      </c>
      <c r="X10" s="18">
        <v>10</v>
      </c>
      <c r="Y10" t="s">
        <v>86</v>
      </c>
      <c r="AA10" s="16">
        <v>7</v>
      </c>
      <c r="AB10" t="s">
        <v>86</v>
      </c>
    </row>
    <row r="11" spans="2:28" ht="19.5" customHeight="1" thickBot="1" x14ac:dyDescent="0.35">
      <c r="B11" s="45" t="s">
        <v>20</v>
      </c>
      <c r="C11" s="12" t="s">
        <v>170</v>
      </c>
      <c r="D11" s="17" t="s">
        <v>104</v>
      </c>
      <c r="E11" s="15"/>
      <c r="F11" s="11"/>
      <c r="G11" s="10"/>
      <c r="H11" s="11"/>
      <c r="I11" s="10"/>
      <c r="J11" s="11"/>
      <c r="K11" s="10"/>
      <c r="L11" s="11"/>
      <c r="M11" s="10"/>
      <c r="N11" s="11"/>
      <c r="O11" s="10"/>
      <c r="R11" s="16"/>
      <c r="U11" s="16"/>
      <c r="X11" s="18"/>
      <c r="AA11" s="16"/>
    </row>
    <row r="12" spans="2:28" ht="19.5" customHeight="1" thickBot="1" x14ac:dyDescent="0.35">
      <c r="B12" s="9" t="s">
        <v>21</v>
      </c>
      <c r="C12" s="10" t="s">
        <v>171</v>
      </c>
      <c r="D12" s="17" t="s">
        <v>104</v>
      </c>
      <c r="E12" s="15"/>
      <c r="F12" s="11"/>
      <c r="G12" s="10"/>
      <c r="H12" s="11"/>
      <c r="I12" s="10"/>
      <c r="J12" s="11"/>
      <c r="K12" s="10"/>
      <c r="L12" s="11"/>
      <c r="M12" s="10"/>
      <c r="N12" s="11"/>
      <c r="O12" s="10"/>
      <c r="R12" s="16"/>
      <c r="U12" s="16"/>
      <c r="X12" s="18"/>
      <c r="AA12" s="16"/>
    </row>
    <row r="13" spans="2:28" ht="19.5" customHeight="1" thickBot="1" x14ac:dyDescent="0.35">
      <c r="B13" s="771" t="s">
        <v>83</v>
      </c>
      <c r="C13" s="772"/>
      <c r="D13" s="772"/>
      <c r="E13" s="773"/>
      <c r="F13" s="768"/>
      <c r="G13" s="769"/>
      <c r="H13" s="768"/>
      <c r="I13" s="769"/>
      <c r="J13" s="768"/>
      <c r="K13" s="769"/>
      <c r="L13" s="768"/>
      <c r="M13" s="769"/>
      <c r="N13" s="768"/>
      <c r="O13" s="769"/>
      <c r="R13" s="1">
        <f>R8*R9</f>
        <v>48</v>
      </c>
      <c r="S13" t="s">
        <v>87</v>
      </c>
      <c r="U13" s="1">
        <f>U8*U9</f>
        <v>33.6</v>
      </c>
      <c r="V13" t="s">
        <v>87</v>
      </c>
      <c r="X13" s="19">
        <f>X8*X9</f>
        <v>24</v>
      </c>
      <c r="Y13" t="s">
        <v>87</v>
      </c>
      <c r="AA13" s="1">
        <f>AA8*AA9</f>
        <v>16.8</v>
      </c>
      <c r="AB13" t="s">
        <v>87</v>
      </c>
    </row>
    <row r="14" spans="2:28" ht="19.5" customHeight="1" thickBot="1" x14ac:dyDescent="0.35">
      <c r="B14" s="771" t="s">
        <v>84</v>
      </c>
      <c r="C14" s="772"/>
      <c r="D14" s="772"/>
      <c r="E14" s="773"/>
      <c r="F14" s="768" t="e">
        <f>RANK(F13,$F13:$M13)</f>
        <v>#N/A</v>
      </c>
      <c r="G14" s="769"/>
      <c r="H14" s="768" t="e">
        <f>RANK(H13,$F13:$M13)</f>
        <v>#N/A</v>
      </c>
      <c r="I14" s="769"/>
      <c r="J14" s="768" t="e">
        <f>RANK(J13,$F13:$M13)</f>
        <v>#N/A</v>
      </c>
      <c r="K14" s="769"/>
      <c r="L14" s="768" t="e">
        <f>RANK(L13,$F13:$M13)</f>
        <v>#N/A</v>
      </c>
      <c r="M14" s="769"/>
      <c r="N14" s="768" t="e">
        <f>RANK(N13,$F13:$M13)</f>
        <v>#N/A</v>
      </c>
      <c r="O14" s="769"/>
    </row>
    <row r="15" spans="2:28" ht="19.5" customHeight="1" x14ac:dyDescent="0.3">
      <c r="B15" s="777" t="s">
        <v>103</v>
      </c>
      <c r="C15" s="778"/>
      <c r="D15" s="778"/>
      <c r="E15" s="778"/>
      <c r="F15" s="778"/>
      <c r="G15" s="778"/>
      <c r="H15" s="778"/>
      <c r="I15" s="778"/>
      <c r="J15" s="778"/>
      <c r="K15" s="778"/>
      <c r="L15" s="778"/>
      <c r="M15" s="778"/>
      <c r="N15" s="778"/>
      <c r="O15" s="778"/>
      <c r="R15" t="s">
        <v>118</v>
      </c>
      <c r="U15" t="s">
        <v>138</v>
      </c>
    </row>
    <row r="18" spans="2:21" ht="14.5" thickBot="1" x14ac:dyDescent="0.35"/>
    <row r="19" spans="2:21" ht="18.75" customHeight="1" thickBot="1" x14ac:dyDescent="0.35">
      <c r="B19" s="774" t="s">
        <v>88</v>
      </c>
      <c r="C19" s="775"/>
      <c r="D19" s="775"/>
      <c r="E19" s="775"/>
      <c r="F19" s="775"/>
      <c r="G19" s="775"/>
      <c r="H19" s="775"/>
      <c r="I19" s="775"/>
      <c r="J19" s="789"/>
    </row>
    <row r="20" spans="2:21" ht="19.5" customHeight="1" thickBot="1" x14ac:dyDescent="0.35">
      <c r="B20" s="771" t="s">
        <v>126</v>
      </c>
      <c r="C20" s="772"/>
      <c r="D20" s="772"/>
      <c r="E20" s="772"/>
      <c r="F20" s="772"/>
      <c r="G20" s="772"/>
      <c r="H20" s="772"/>
      <c r="I20" s="772"/>
      <c r="J20" s="773"/>
    </row>
    <row r="21" spans="2:21" ht="19.5" customHeight="1" thickBot="1" x14ac:dyDescent="0.35">
      <c r="B21" s="764" t="s">
        <v>89</v>
      </c>
      <c r="C21" s="795"/>
      <c r="D21" s="796" t="s">
        <v>74</v>
      </c>
      <c r="E21" s="767"/>
      <c r="F21" s="14" t="s">
        <v>73</v>
      </c>
      <c r="G21" s="14" t="s">
        <v>75</v>
      </c>
      <c r="H21" s="768" t="s">
        <v>90</v>
      </c>
      <c r="I21" s="770"/>
      <c r="J21" s="769"/>
    </row>
    <row r="22" spans="2:21" ht="19.5" customHeight="1" x14ac:dyDescent="0.3">
      <c r="B22" s="779" t="s">
        <v>91</v>
      </c>
      <c r="C22" s="780"/>
      <c r="D22" s="780" t="s">
        <v>93</v>
      </c>
      <c r="E22" s="781"/>
      <c r="F22" s="782" t="s">
        <v>17</v>
      </c>
      <c r="G22" s="782" t="s">
        <v>104</v>
      </c>
      <c r="H22" s="779" t="s">
        <v>105</v>
      </c>
      <c r="I22" s="780"/>
      <c r="J22" s="781"/>
      <c r="L22" s="20" t="s">
        <v>63</v>
      </c>
      <c r="M22" s="20"/>
      <c r="N22" s="20"/>
      <c r="O22" s="20" t="s">
        <v>52</v>
      </c>
      <c r="P22" s="20"/>
      <c r="Q22" s="20"/>
      <c r="R22" s="20" t="s">
        <v>52</v>
      </c>
      <c r="U22" s="8" t="s">
        <v>63</v>
      </c>
    </row>
    <row r="23" spans="2:21" ht="19.5" customHeight="1" thickBot="1" x14ac:dyDescent="0.35">
      <c r="B23" s="784" t="s">
        <v>134</v>
      </c>
      <c r="C23" s="785"/>
      <c r="D23" s="786" t="s">
        <v>104</v>
      </c>
      <c r="E23" s="787"/>
      <c r="F23" s="783"/>
      <c r="G23" s="783"/>
      <c r="H23" s="788" t="s">
        <v>106</v>
      </c>
      <c r="I23" s="786"/>
      <c r="J23" s="787"/>
      <c r="L23" s="20" t="s">
        <v>112</v>
      </c>
      <c r="M23" s="20"/>
      <c r="N23" s="20"/>
      <c r="O23" s="20" t="s">
        <v>53</v>
      </c>
      <c r="P23" s="20"/>
      <c r="Q23" s="20"/>
      <c r="R23" s="20" t="s">
        <v>53</v>
      </c>
      <c r="U23" s="8" t="s">
        <v>112</v>
      </c>
    </row>
    <row r="24" spans="2:21" ht="19.5" customHeight="1" x14ac:dyDescent="0.3">
      <c r="B24" s="779" t="s">
        <v>94</v>
      </c>
      <c r="C24" s="780"/>
      <c r="D24" s="780" t="s">
        <v>95</v>
      </c>
      <c r="E24" s="781"/>
      <c r="F24" s="782" t="s">
        <v>17</v>
      </c>
      <c r="G24" s="782" t="s">
        <v>104</v>
      </c>
      <c r="H24" s="779" t="s">
        <v>107</v>
      </c>
      <c r="I24" s="780"/>
      <c r="J24" s="781"/>
      <c r="L24" s="20" t="s">
        <v>113</v>
      </c>
      <c r="M24" s="20"/>
      <c r="N24" s="20"/>
      <c r="O24" s="20" t="s">
        <v>113</v>
      </c>
      <c r="P24" s="20"/>
      <c r="Q24" s="20"/>
      <c r="R24" s="20" t="s">
        <v>129</v>
      </c>
      <c r="U24" s="8" t="s">
        <v>135</v>
      </c>
    </row>
    <row r="25" spans="2:21" ht="19.5" customHeight="1" thickBot="1" x14ac:dyDescent="0.35">
      <c r="B25" s="784" t="s">
        <v>134</v>
      </c>
      <c r="C25" s="785"/>
      <c r="D25" s="790" t="s">
        <v>104</v>
      </c>
      <c r="E25" s="791"/>
      <c r="F25" s="783"/>
      <c r="G25" s="783"/>
      <c r="H25" s="792" t="s">
        <v>108</v>
      </c>
      <c r="I25" s="790"/>
      <c r="J25" s="791"/>
      <c r="L25" s="20" t="s">
        <v>114</v>
      </c>
      <c r="M25" s="20"/>
      <c r="N25" s="20"/>
      <c r="O25" s="20" t="s">
        <v>115</v>
      </c>
      <c r="P25" s="20"/>
      <c r="Q25" s="20"/>
      <c r="R25" s="20" t="s">
        <v>130</v>
      </c>
      <c r="U25" s="8" t="s">
        <v>136</v>
      </c>
    </row>
    <row r="26" spans="2:21" ht="19.5" customHeight="1" x14ac:dyDescent="0.3">
      <c r="B26" s="779" t="s">
        <v>96</v>
      </c>
      <c r="C26" s="780"/>
      <c r="D26" s="780" t="s">
        <v>98</v>
      </c>
      <c r="E26" s="781"/>
      <c r="F26" s="17" t="s">
        <v>17</v>
      </c>
      <c r="G26" s="17" t="s">
        <v>104</v>
      </c>
      <c r="H26" s="779" t="s">
        <v>109</v>
      </c>
      <c r="I26" s="780"/>
      <c r="J26" s="781"/>
      <c r="L26" s="20" t="s">
        <v>116</v>
      </c>
      <c r="M26" s="20"/>
      <c r="N26" s="20"/>
      <c r="O26" s="20" t="s">
        <v>117</v>
      </c>
      <c r="P26" s="20"/>
      <c r="Q26" s="20"/>
      <c r="R26" s="20" t="s">
        <v>131</v>
      </c>
      <c r="U26" s="8" t="s">
        <v>137</v>
      </c>
    </row>
    <row r="27" spans="2:21" ht="19.5" customHeight="1" x14ac:dyDescent="0.3">
      <c r="B27" s="788" t="s">
        <v>97</v>
      </c>
      <c r="C27" s="786"/>
      <c r="D27" s="786" t="s">
        <v>104</v>
      </c>
      <c r="E27" s="787"/>
      <c r="F27" s="15" t="s">
        <v>18</v>
      </c>
      <c r="G27" s="15" t="s">
        <v>104</v>
      </c>
      <c r="H27" s="788" t="s">
        <v>140</v>
      </c>
      <c r="I27" s="786"/>
      <c r="J27" s="787"/>
      <c r="L27" s="20"/>
      <c r="M27" s="20"/>
      <c r="N27" s="20"/>
      <c r="O27" s="20"/>
      <c r="P27" s="20"/>
      <c r="Q27" s="20"/>
      <c r="R27" s="20"/>
    </row>
    <row r="28" spans="2:21" ht="19.5" customHeight="1" thickBot="1" x14ac:dyDescent="0.35">
      <c r="B28" s="793" t="s">
        <v>92</v>
      </c>
      <c r="C28" s="794"/>
      <c r="D28" s="13"/>
      <c r="E28" s="10"/>
      <c r="F28" s="9" t="s">
        <v>19</v>
      </c>
      <c r="G28" s="9" t="s">
        <v>104</v>
      </c>
      <c r="H28" s="792"/>
      <c r="I28" s="790"/>
      <c r="J28" s="791"/>
      <c r="L28" s="20" t="s">
        <v>120</v>
      </c>
      <c r="M28" s="20"/>
      <c r="N28" s="20"/>
      <c r="O28" s="20" t="s">
        <v>119</v>
      </c>
      <c r="P28" s="20"/>
      <c r="Q28" s="20"/>
      <c r="R28" s="20" t="s">
        <v>132</v>
      </c>
      <c r="U28" t="s">
        <v>139</v>
      </c>
    </row>
    <row r="29" spans="2:21" ht="19.5" customHeight="1" x14ac:dyDescent="0.3">
      <c r="B29" s="779" t="s">
        <v>99</v>
      </c>
      <c r="C29" s="780"/>
      <c r="D29" s="780" t="s">
        <v>101</v>
      </c>
      <c r="E29" s="781"/>
      <c r="F29" s="17" t="s">
        <v>17</v>
      </c>
      <c r="G29" s="15" t="s">
        <v>104</v>
      </c>
      <c r="H29" s="779" t="s">
        <v>110</v>
      </c>
      <c r="I29" s="780"/>
      <c r="J29" s="781"/>
    </row>
    <row r="30" spans="2:21" ht="19.5" customHeight="1" x14ac:dyDescent="0.3">
      <c r="B30" s="788" t="s">
        <v>100</v>
      </c>
      <c r="C30" s="786"/>
      <c r="D30" s="786" t="s">
        <v>104</v>
      </c>
      <c r="E30" s="787"/>
      <c r="F30" s="15" t="s">
        <v>18</v>
      </c>
      <c r="G30" s="15" t="s">
        <v>104</v>
      </c>
      <c r="H30" s="788"/>
      <c r="I30" s="786"/>
      <c r="J30" s="787"/>
    </row>
    <row r="31" spans="2:21" ht="19.5" customHeight="1" thickBot="1" x14ac:dyDescent="0.35">
      <c r="B31" s="793" t="s">
        <v>92</v>
      </c>
      <c r="C31" s="794"/>
      <c r="D31" s="790"/>
      <c r="E31" s="791"/>
      <c r="F31" s="9" t="s">
        <v>19</v>
      </c>
      <c r="G31" s="15" t="s">
        <v>104</v>
      </c>
      <c r="H31" s="788" t="s">
        <v>111</v>
      </c>
      <c r="I31" s="786"/>
      <c r="J31" s="787"/>
    </row>
    <row r="32" spans="2:21" ht="19.5" customHeight="1" thickBot="1" x14ac:dyDescent="0.35">
      <c r="B32" s="771" t="s">
        <v>127</v>
      </c>
      <c r="C32" s="772"/>
      <c r="D32" s="772"/>
      <c r="E32" s="772"/>
      <c r="F32" s="772"/>
      <c r="G32" s="772"/>
      <c r="H32" s="772"/>
      <c r="I32" s="772"/>
      <c r="J32" s="773"/>
    </row>
    <row r="33" spans="2:16" ht="19.5" customHeight="1" x14ac:dyDescent="0.3"/>
    <row r="34" spans="2:16" ht="19.5" customHeight="1" x14ac:dyDescent="0.3"/>
    <row r="35" spans="2:16" ht="19.5" customHeight="1" thickBot="1" x14ac:dyDescent="0.35"/>
    <row r="36" spans="2:16" ht="19.5" customHeight="1" thickBot="1" x14ac:dyDescent="0.35">
      <c r="B36" s="774" t="s">
        <v>125</v>
      </c>
      <c r="C36" s="775"/>
      <c r="D36" s="775"/>
      <c r="E36" s="775"/>
      <c r="F36" s="775"/>
      <c r="G36" s="775"/>
      <c r="H36" s="775"/>
      <c r="I36" s="775"/>
      <c r="J36" s="776"/>
      <c r="P36" t="s">
        <v>65</v>
      </c>
    </row>
    <row r="37" spans="2:16" ht="19.5" customHeight="1" thickBot="1" x14ac:dyDescent="0.35">
      <c r="B37" s="771" t="s">
        <v>126</v>
      </c>
      <c r="C37" s="772"/>
      <c r="D37" s="772"/>
      <c r="E37" s="772"/>
      <c r="F37" s="772"/>
      <c r="G37" s="772"/>
      <c r="H37" s="772"/>
      <c r="I37" s="772"/>
      <c r="J37" s="773"/>
      <c r="P37" t="s">
        <v>128</v>
      </c>
    </row>
    <row r="38" spans="2:16" ht="19.5" customHeight="1" thickBot="1" x14ac:dyDescent="0.35">
      <c r="B38" s="764" t="s">
        <v>89</v>
      </c>
      <c r="C38" s="795"/>
      <c r="D38" s="796" t="s">
        <v>74</v>
      </c>
      <c r="E38" s="767"/>
      <c r="F38" s="14" t="s">
        <v>73</v>
      </c>
      <c r="G38" s="14" t="s">
        <v>75</v>
      </c>
      <c r="H38" s="768" t="s">
        <v>90</v>
      </c>
      <c r="I38" s="770"/>
      <c r="J38" s="769"/>
      <c r="P38" t="s">
        <v>135</v>
      </c>
    </row>
    <row r="39" spans="2:16" ht="19.5" customHeight="1" x14ac:dyDescent="0.3">
      <c r="B39" s="779" t="s">
        <v>91</v>
      </c>
      <c r="C39" s="780"/>
      <c r="D39" s="780" t="s">
        <v>121</v>
      </c>
      <c r="E39" s="781"/>
      <c r="F39" s="782" t="s">
        <v>17</v>
      </c>
      <c r="G39" s="782" t="s">
        <v>104</v>
      </c>
      <c r="H39" s="779" t="s">
        <v>105</v>
      </c>
      <c r="I39" s="780"/>
      <c r="J39" s="781"/>
      <c r="P39" t="s">
        <v>141</v>
      </c>
    </row>
    <row r="40" spans="2:16" ht="19.5" customHeight="1" thickBot="1" x14ac:dyDescent="0.35">
      <c r="B40" s="784" t="s">
        <v>134</v>
      </c>
      <c r="C40" s="785"/>
      <c r="D40" s="786" t="s">
        <v>104</v>
      </c>
      <c r="E40" s="787"/>
      <c r="F40" s="783"/>
      <c r="G40" s="783"/>
      <c r="H40" s="788" t="s">
        <v>106</v>
      </c>
      <c r="I40" s="786"/>
      <c r="J40" s="787"/>
      <c r="P40" t="s">
        <v>142</v>
      </c>
    </row>
    <row r="41" spans="2:16" ht="19.5" customHeight="1" x14ac:dyDescent="0.3">
      <c r="B41" s="779" t="s">
        <v>94</v>
      </c>
      <c r="C41" s="780"/>
      <c r="D41" s="780" t="s">
        <v>122</v>
      </c>
      <c r="E41" s="781"/>
      <c r="F41" s="782" t="s">
        <v>17</v>
      </c>
      <c r="G41" s="782" t="s">
        <v>104</v>
      </c>
      <c r="H41" s="779" t="s">
        <v>107</v>
      </c>
      <c r="I41" s="780"/>
      <c r="J41" s="781"/>
    </row>
    <row r="42" spans="2:16" ht="19.5" customHeight="1" thickBot="1" x14ac:dyDescent="0.35">
      <c r="B42" s="784" t="s">
        <v>134</v>
      </c>
      <c r="C42" s="785"/>
      <c r="D42" s="790" t="s">
        <v>104</v>
      </c>
      <c r="E42" s="791"/>
      <c r="F42" s="783"/>
      <c r="G42" s="783"/>
      <c r="H42" s="792" t="s">
        <v>108</v>
      </c>
      <c r="I42" s="790"/>
      <c r="J42" s="791"/>
      <c r="P42" t="s">
        <v>143</v>
      </c>
    </row>
    <row r="43" spans="2:16" ht="19.5" customHeight="1" x14ac:dyDescent="0.3">
      <c r="B43" s="779" t="s">
        <v>96</v>
      </c>
      <c r="C43" s="780"/>
      <c r="D43" s="780" t="s">
        <v>123</v>
      </c>
      <c r="E43" s="781"/>
      <c r="F43" s="17" t="s">
        <v>17</v>
      </c>
      <c r="G43" s="17" t="s">
        <v>104</v>
      </c>
      <c r="H43" s="779" t="s">
        <v>109</v>
      </c>
      <c r="I43" s="780"/>
      <c r="J43" s="781"/>
    </row>
    <row r="44" spans="2:16" ht="19.5" customHeight="1" x14ac:dyDescent="0.3">
      <c r="B44" s="788" t="s">
        <v>97</v>
      </c>
      <c r="C44" s="786"/>
      <c r="D44" s="786" t="s">
        <v>104</v>
      </c>
      <c r="E44" s="787"/>
      <c r="F44" s="15" t="s">
        <v>18</v>
      </c>
      <c r="G44" s="15" t="s">
        <v>104</v>
      </c>
      <c r="H44" s="788" t="s">
        <v>140</v>
      </c>
      <c r="I44" s="786"/>
      <c r="J44" s="787"/>
    </row>
    <row r="45" spans="2:16" ht="19.5" customHeight="1" thickBot="1" x14ac:dyDescent="0.35">
      <c r="B45" s="793" t="s">
        <v>92</v>
      </c>
      <c r="C45" s="794"/>
      <c r="D45" s="13"/>
      <c r="E45" s="10"/>
      <c r="F45" s="9" t="s">
        <v>19</v>
      </c>
      <c r="G45" s="9" t="s">
        <v>104</v>
      </c>
      <c r="H45" s="792"/>
      <c r="I45" s="790"/>
      <c r="J45" s="791"/>
    </row>
    <row r="46" spans="2:16" ht="19.5" customHeight="1" x14ac:dyDescent="0.3">
      <c r="B46" s="779" t="s">
        <v>99</v>
      </c>
      <c r="C46" s="780"/>
      <c r="D46" s="786" t="s">
        <v>124</v>
      </c>
      <c r="E46" s="787"/>
      <c r="F46" s="17" t="s">
        <v>17</v>
      </c>
      <c r="G46" s="15" t="s">
        <v>104</v>
      </c>
      <c r="H46" s="779" t="s">
        <v>110</v>
      </c>
      <c r="I46" s="780"/>
      <c r="J46" s="781"/>
    </row>
    <row r="47" spans="2:16" ht="19.5" customHeight="1" x14ac:dyDescent="0.3">
      <c r="B47" s="788" t="s">
        <v>100</v>
      </c>
      <c r="C47" s="786"/>
      <c r="D47" s="786" t="s">
        <v>104</v>
      </c>
      <c r="E47" s="787"/>
      <c r="F47" s="15" t="s">
        <v>18</v>
      </c>
      <c r="G47" s="15" t="s">
        <v>104</v>
      </c>
      <c r="H47" s="788"/>
      <c r="I47" s="786"/>
      <c r="J47" s="787"/>
    </row>
    <row r="48" spans="2:16" ht="19.5" customHeight="1" thickBot="1" x14ac:dyDescent="0.35">
      <c r="B48" s="793" t="s">
        <v>92</v>
      </c>
      <c r="C48" s="794"/>
      <c r="D48" s="790"/>
      <c r="E48" s="791"/>
      <c r="F48" s="9" t="s">
        <v>19</v>
      </c>
      <c r="G48" s="15" t="s">
        <v>104</v>
      </c>
      <c r="H48" s="788" t="s">
        <v>111</v>
      </c>
      <c r="I48" s="786"/>
      <c r="J48" s="787"/>
    </row>
    <row r="49" spans="2:10" ht="14.5" thickBot="1" x14ac:dyDescent="0.35">
      <c r="B49" s="771" t="s">
        <v>127</v>
      </c>
      <c r="C49" s="772"/>
      <c r="D49" s="772"/>
      <c r="E49" s="772"/>
      <c r="F49" s="772"/>
      <c r="G49" s="772"/>
      <c r="H49" s="772"/>
      <c r="I49" s="772"/>
      <c r="J49" s="773"/>
    </row>
    <row r="51" spans="2:10" ht="32.25" customHeight="1" x14ac:dyDescent="0.3"/>
  </sheetData>
  <mergeCells count="109">
    <mergeCell ref="H7:I7"/>
    <mergeCell ref="J6:K6"/>
    <mergeCell ref="J7:K7"/>
    <mergeCell ref="L6:M6"/>
    <mergeCell ref="L7:M7"/>
    <mergeCell ref="B5:D5"/>
    <mergeCell ref="B6:B7"/>
    <mergeCell ref="D6:D7"/>
    <mergeCell ref="E6:E7"/>
    <mergeCell ref="F6:G6"/>
    <mergeCell ref="F7:G7"/>
    <mergeCell ref="H6:I6"/>
    <mergeCell ref="C6:C7"/>
    <mergeCell ref="B26:C26"/>
    <mergeCell ref="B27:C27"/>
    <mergeCell ref="F22:F23"/>
    <mergeCell ref="H21:J21"/>
    <mergeCell ref="B20:J20"/>
    <mergeCell ref="L13:M13"/>
    <mergeCell ref="L14:M14"/>
    <mergeCell ref="J13:K13"/>
    <mergeCell ref="J14:K14"/>
    <mergeCell ref="H26:J26"/>
    <mergeCell ref="H27:J27"/>
    <mergeCell ref="D26:E26"/>
    <mergeCell ref="D27:E27"/>
    <mergeCell ref="H24:J24"/>
    <mergeCell ref="G22:G23"/>
    <mergeCell ref="F24:F25"/>
    <mergeCell ref="G24:G25"/>
    <mergeCell ref="B13:E13"/>
    <mergeCell ref="F13:G13"/>
    <mergeCell ref="H13:I13"/>
    <mergeCell ref="B14:E14"/>
    <mergeCell ref="F14:G14"/>
    <mergeCell ref="H14:I14"/>
    <mergeCell ref="H25:J25"/>
    <mergeCell ref="D21:E21"/>
    <mergeCell ref="D22:E22"/>
    <mergeCell ref="D23:E23"/>
    <mergeCell ref="D25:E25"/>
    <mergeCell ref="B21:C21"/>
    <mergeCell ref="B22:C22"/>
    <mergeCell ref="B23:C23"/>
    <mergeCell ref="B25:C25"/>
    <mergeCell ref="B24:C24"/>
    <mergeCell ref="D24:E24"/>
    <mergeCell ref="B38:C38"/>
    <mergeCell ref="H38:J38"/>
    <mergeCell ref="B37:J37"/>
    <mergeCell ref="D38:E38"/>
    <mergeCell ref="H28:J28"/>
    <mergeCell ref="H29:J29"/>
    <mergeCell ref="H30:J30"/>
    <mergeCell ref="D29:E29"/>
    <mergeCell ref="D30:E30"/>
    <mergeCell ref="B30:C30"/>
    <mergeCell ref="B28:C28"/>
    <mergeCell ref="B29:C29"/>
    <mergeCell ref="H31:J31"/>
    <mergeCell ref="B31:C31"/>
    <mergeCell ref="D31:E31"/>
    <mergeCell ref="B48:C48"/>
    <mergeCell ref="D48:E48"/>
    <mergeCell ref="H48:J48"/>
    <mergeCell ref="B49:J49"/>
    <mergeCell ref="B45:C45"/>
    <mergeCell ref="H45:J45"/>
    <mergeCell ref="B46:C46"/>
    <mergeCell ref="D46:E46"/>
    <mergeCell ref="H46:J46"/>
    <mergeCell ref="B47:C47"/>
    <mergeCell ref="D47:E47"/>
    <mergeCell ref="H47:J47"/>
    <mergeCell ref="B44:C44"/>
    <mergeCell ref="D44:E44"/>
    <mergeCell ref="H44:J44"/>
    <mergeCell ref="B41:C41"/>
    <mergeCell ref="D41:E41"/>
    <mergeCell ref="F41:F42"/>
    <mergeCell ref="G41:G42"/>
    <mergeCell ref="H41:J41"/>
    <mergeCell ref="B42:C42"/>
    <mergeCell ref="D42:E42"/>
    <mergeCell ref="H42:J42"/>
    <mergeCell ref="N6:O6"/>
    <mergeCell ref="N7:O7"/>
    <mergeCell ref="N13:O13"/>
    <mergeCell ref="N14:O14"/>
    <mergeCell ref="F5:O5"/>
    <mergeCell ref="B4:O4"/>
    <mergeCell ref="B3:O3"/>
    <mergeCell ref="B15:O15"/>
    <mergeCell ref="B43:C43"/>
    <mergeCell ref="D43:E43"/>
    <mergeCell ref="H43:J43"/>
    <mergeCell ref="F39:F40"/>
    <mergeCell ref="G39:G40"/>
    <mergeCell ref="H39:J39"/>
    <mergeCell ref="B40:C40"/>
    <mergeCell ref="D40:E40"/>
    <mergeCell ref="H40:J40"/>
    <mergeCell ref="B39:C39"/>
    <mergeCell ref="D39:E39"/>
    <mergeCell ref="B32:J32"/>
    <mergeCell ref="B36:J36"/>
    <mergeCell ref="B19:J19"/>
    <mergeCell ref="H22:J22"/>
    <mergeCell ref="H23:J2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ACDB-D658-42F8-B9B2-CA686623AC3E}">
  <dimension ref="B5:N38"/>
  <sheetViews>
    <sheetView workbookViewId="0">
      <selection activeCell="F34" sqref="F34"/>
    </sheetView>
  </sheetViews>
  <sheetFormatPr defaultRowHeight="14" x14ac:dyDescent="0.3"/>
  <sheetData>
    <row r="5" spans="2:14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>
        <v>1260</v>
      </c>
    </row>
    <row r="6" spans="2:1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4" x14ac:dyDescent="0.3">
      <c r="B7" s="799" t="s">
        <v>152</v>
      </c>
      <c r="C7" s="1" t="s">
        <v>213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/>
      <c r="J7" s="1"/>
      <c r="K7" s="1"/>
      <c r="L7" s="1"/>
    </row>
    <row r="8" spans="2:14" x14ac:dyDescent="0.3">
      <c r="B8" s="799"/>
      <c r="C8" s="1" t="s">
        <v>214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/>
      <c r="J8" s="1"/>
      <c r="K8" s="1"/>
      <c r="L8" s="1"/>
    </row>
    <row r="9" spans="2:14" x14ac:dyDescent="0.3">
      <c r="B9" s="799"/>
      <c r="C9" s="1" t="s">
        <v>215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/>
      <c r="J9" s="1"/>
      <c r="K9" s="1"/>
      <c r="L9" s="1"/>
    </row>
    <row r="10" spans="2:14" x14ac:dyDescent="0.3">
      <c r="B10" s="799"/>
      <c r="C10" s="1" t="s">
        <v>216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/>
      <c r="J10" s="1"/>
      <c r="K10" s="1"/>
      <c r="L10" s="1"/>
    </row>
    <row r="11" spans="2:14" x14ac:dyDescent="0.3">
      <c r="B11" s="799"/>
      <c r="C11" s="1" t="s">
        <v>217</v>
      </c>
      <c r="D11" s="1"/>
      <c r="E11" s="1"/>
      <c r="F11" s="1"/>
      <c r="G11" s="1"/>
      <c r="H11" s="1"/>
      <c r="I11" s="1"/>
      <c r="J11" s="1"/>
      <c r="K11" s="1"/>
      <c r="L11" s="1"/>
    </row>
    <row r="12" spans="2:14" x14ac:dyDescent="0.3">
      <c r="B12" s="1"/>
      <c r="C12" s="1"/>
      <c r="D12" s="1">
        <f>SUM(D7:D10)</f>
        <v>20</v>
      </c>
      <c r="E12" s="1">
        <f t="shared" ref="E12:H12" si="0">SUM(E7:E10)</f>
        <v>20</v>
      </c>
      <c r="F12" s="1">
        <f t="shared" si="0"/>
        <v>20</v>
      </c>
      <c r="G12" s="1">
        <f t="shared" si="0"/>
        <v>20</v>
      </c>
      <c r="H12" s="1">
        <f t="shared" si="0"/>
        <v>20</v>
      </c>
      <c r="I12" s="1"/>
      <c r="J12" s="1">
        <f>SUM(D12:H12)</f>
        <v>100</v>
      </c>
      <c r="K12" s="94">
        <f>J$38/D12</f>
        <v>63</v>
      </c>
      <c r="L12" s="96">
        <f>D12*K12</f>
        <v>1260</v>
      </c>
      <c r="M12">
        <f>SUM(D12:H12)*K12</f>
        <v>6300</v>
      </c>
      <c r="N12">
        <f>M12/5</f>
        <v>1260</v>
      </c>
    </row>
    <row r="13" spans="2:14" x14ac:dyDescent="0.3">
      <c r="B13" s="1"/>
      <c r="C13" s="1"/>
      <c r="D13" s="95"/>
      <c r="E13" s="1"/>
      <c r="F13" s="1"/>
      <c r="G13" s="1"/>
      <c r="H13" s="1"/>
      <c r="I13" s="1"/>
      <c r="J13" s="1"/>
      <c r="K13" s="1"/>
      <c r="L13" s="1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4" x14ac:dyDescent="0.3">
      <c r="B16" s="800" t="s">
        <v>153</v>
      </c>
      <c r="C16" s="1" t="s">
        <v>213</v>
      </c>
      <c r="D16" s="1">
        <v>400</v>
      </c>
      <c r="E16" s="1">
        <v>200</v>
      </c>
      <c r="F16" s="1"/>
      <c r="G16" s="1"/>
      <c r="H16" s="1"/>
      <c r="I16" s="1"/>
      <c r="J16" s="1">
        <f>SUM(D16:G16)</f>
        <v>600</v>
      </c>
      <c r="K16" s="96">
        <f t="shared" ref="K16:K17" si="1">J16*K$23</f>
        <v>1260</v>
      </c>
      <c r="L16" s="1"/>
      <c r="M16">
        <f>SUM(K16:K21)</f>
        <v>4200</v>
      </c>
      <c r="N16">
        <f>M16/6</f>
        <v>700</v>
      </c>
    </row>
    <row r="17" spans="2:14" x14ac:dyDescent="0.3">
      <c r="B17" s="800"/>
      <c r="C17" s="1" t="s">
        <v>214</v>
      </c>
      <c r="D17" s="1">
        <v>400</v>
      </c>
      <c r="E17" s="1">
        <v>200</v>
      </c>
      <c r="F17" s="1"/>
      <c r="G17" s="1"/>
      <c r="H17" s="1"/>
      <c r="I17" s="1"/>
      <c r="J17" s="1">
        <f>SUM(D17:G17)</f>
        <v>600</v>
      </c>
      <c r="K17" s="1">
        <f t="shared" si="1"/>
        <v>1260</v>
      </c>
      <c r="L17" s="1"/>
    </row>
    <row r="18" spans="2:14" x14ac:dyDescent="0.3">
      <c r="B18" s="800"/>
      <c r="C18" s="1" t="s">
        <v>215</v>
      </c>
      <c r="D18" s="1">
        <v>150</v>
      </c>
      <c r="E18" s="1">
        <v>150</v>
      </c>
      <c r="F18" s="1"/>
      <c r="G18" s="1"/>
      <c r="H18" s="1"/>
      <c r="I18" s="1"/>
      <c r="J18" s="1">
        <f t="shared" ref="J18:J19" si="2">SUM(D18:G18)</f>
        <v>300</v>
      </c>
      <c r="K18" s="1">
        <f>J18*K$23</f>
        <v>630</v>
      </c>
      <c r="L18" s="1"/>
    </row>
    <row r="19" spans="2:14" x14ac:dyDescent="0.3">
      <c r="B19" s="800"/>
      <c r="C19" s="1" t="s">
        <v>216</v>
      </c>
      <c r="D19" s="1">
        <v>150</v>
      </c>
      <c r="E19" s="1">
        <v>150</v>
      </c>
      <c r="F19" s="1"/>
      <c r="G19" s="1"/>
      <c r="H19" s="1"/>
      <c r="I19" s="1"/>
      <c r="J19" s="1">
        <f t="shared" si="2"/>
        <v>300</v>
      </c>
      <c r="K19" s="1">
        <f t="shared" ref="K19:K21" si="3">J19*K$23</f>
        <v>630</v>
      </c>
      <c r="L19" s="1"/>
    </row>
    <row r="20" spans="2:14" x14ac:dyDescent="0.3">
      <c r="B20" s="800"/>
      <c r="C20" s="1" t="s">
        <v>217</v>
      </c>
      <c r="D20" s="1">
        <v>100</v>
      </c>
      <c r="E20" s="1"/>
      <c r="F20" s="1"/>
      <c r="G20" s="1"/>
      <c r="H20" s="1"/>
      <c r="I20" s="1"/>
      <c r="J20" s="1">
        <f>SUM(D20:G20)</f>
        <v>100</v>
      </c>
      <c r="K20" s="1">
        <f t="shared" si="3"/>
        <v>210</v>
      </c>
      <c r="L20" s="1"/>
    </row>
    <row r="21" spans="2:14" x14ac:dyDescent="0.3">
      <c r="B21" s="800"/>
      <c r="C21" s="1" t="s">
        <v>218</v>
      </c>
      <c r="D21" s="1">
        <v>100</v>
      </c>
      <c r="E21" s="1"/>
      <c r="F21" s="1"/>
      <c r="G21" s="1"/>
      <c r="H21" s="1"/>
      <c r="I21" s="1"/>
      <c r="J21" s="1">
        <f>SUM(D21:G21)</f>
        <v>100</v>
      </c>
      <c r="K21" s="1">
        <f t="shared" si="3"/>
        <v>210</v>
      </c>
      <c r="L21" s="1"/>
    </row>
    <row r="22" spans="2:14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4" x14ac:dyDescent="0.3">
      <c r="B23" s="1"/>
      <c r="C23" s="1"/>
      <c r="D23" s="1">
        <f>SUM(D16:E21)/D21</f>
        <v>20</v>
      </c>
      <c r="E23" s="1"/>
      <c r="F23" s="1"/>
      <c r="G23" s="1"/>
      <c r="H23" s="1"/>
      <c r="I23" s="1"/>
      <c r="J23" s="1">
        <f>SUM(J16:J21)</f>
        <v>2000</v>
      </c>
      <c r="K23" s="94">
        <f>J38/J16</f>
        <v>2.1</v>
      </c>
      <c r="L23" s="1"/>
    </row>
    <row r="24" spans="2:1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4" x14ac:dyDescent="0.3">
      <c r="B26" s="800" t="s">
        <v>154</v>
      </c>
      <c r="C26" s="1" t="s">
        <v>213</v>
      </c>
      <c r="D26" s="1">
        <v>40</v>
      </c>
      <c r="E26" s="1">
        <v>20</v>
      </c>
      <c r="F26" s="1"/>
      <c r="G26" s="1"/>
      <c r="H26" s="1"/>
      <c r="I26" s="1"/>
      <c r="J26" s="1">
        <f>SUM(D26:G26)</f>
        <v>60</v>
      </c>
      <c r="K26" s="96">
        <f>J26*K$33</f>
        <v>1260</v>
      </c>
      <c r="L26" s="1"/>
      <c r="M26">
        <f>SUM(K26:K31)</f>
        <v>4200</v>
      </c>
      <c r="N26">
        <f>M26/6</f>
        <v>700</v>
      </c>
    </row>
    <row r="27" spans="2:14" x14ac:dyDescent="0.3">
      <c r="B27" s="800"/>
      <c r="C27" s="1" t="s">
        <v>214</v>
      </c>
      <c r="D27" s="1">
        <v>40</v>
      </c>
      <c r="E27" s="1">
        <v>20</v>
      </c>
      <c r="F27" s="1"/>
      <c r="G27" s="1"/>
      <c r="H27" s="1"/>
      <c r="I27" s="1"/>
      <c r="J27" s="1">
        <f>SUM(D27:G27)</f>
        <v>60</v>
      </c>
      <c r="K27" s="1">
        <f t="shared" ref="K27:K31" si="4">J27*K$33</f>
        <v>1260</v>
      </c>
      <c r="L27" s="1"/>
    </row>
    <row r="28" spans="2:14" x14ac:dyDescent="0.3">
      <c r="B28" s="800"/>
      <c r="C28" s="1" t="s">
        <v>215</v>
      </c>
      <c r="D28" s="1">
        <v>15</v>
      </c>
      <c r="E28" s="1">
        <v>15</v>
      </c>
      <c r="F28" s="1"/>
      <c r="G28" s="1"/>
      <c r="H28" s="1"/>
      <c r="I28" s="1"/>
      <c r="J28" s="1">
        <f t="shared" ref="J28:J29" si="5">SUM(D28:G28)</f>
        <v>30</v>
      </c>
      <c r="K28" s="1">
        <f t="shared" si="4"/>
        <v>630</v>
      </c>
      <c r="L28" s="1"/>
    </row>
    <row r="29" spans="2:14" x14ac:dyDescent="0.3">
      <c r="B29" s="800"/>
      <c r="C29" s="1" t="s">
        <v>216</v>
      </c>
      <c r="D29" s="1">
        <v>15</v>
      </c>
      <c r="E29" s="1">
        <v>15</v>
      </c>
      <c r="F29" s="1"/>
      <c r="G29" s="1"/>
      <c r="H29" s="1"/>
      <c r="I29" s="1"/>
      <c r="J29" s="1">
        <f t="shared" si="5"/>
        <v>30</v>
      </c>
      <c r="K29" s="1">
        <f t="shared" si="4"/>
        <v>630</v>
      </c>
      <c r="L29" s="1"/>
    </row>
    <row r="30" spans="2:14" x14ac:dyDescent="0.3">
      <c r="B30" s="800"/>
      <c r="C30" s="1" t="s">
        <v>217</v>
      </c>
      <c r="D30" s="1">
        <v>10</v>
      </c>
      <c r="E30" s="1"/>
      <c r="F30" s="1"/>
      <c r="G30" s="1"/>
      <c r="H30" s="1"/>
      <c r="I30" s="1"/>
      <c r="J30" s="1">
        <f>SUM(D30:G30)</f>
        <v>10</v>
      </c>
      <c r="K30" s="1">
        <f t="shared" si="4"/>
        <v>210</v>
      </c>
      <c r="L30" s="1"/>
    </row>
    <row r="31" spans="2:14" x14ac:dyDescent="0.3">
      <c r="B31" s="800"/>
      <c r="C31" s="1" t="s">
        <v>218</v>
      </c>
      <c r="D31" s="1">
        <v>10</v>
      </c>
      <c r="E31" s="1"/>
      <c r="F31" s="1"/>
      <c r="G31" s="1"/>
      <c r="H31" s="1"/>
      <c r="I31" s="1"/>
      <c r="J31" s="1">
        <f>SUM(D31:G31)</f>
        <v>10</v>
      </c>
      <c r="K31" s="1">
        <f t="shared" si="4"/>
        <v>210</v>
      </c>
      <c r="L31" s="1"/>
    </row>
    <row r="32" spans="2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3">
      <c r="B33" s="1"/>
      <c r="C33" s="1"/>
      <c r="D33" s="1">
        <f>SUM(D26:E31)/D31</f>
        <v>20</v>
      </c>
      <c r="E33" s="1"/>
      <c r="F33" s="1"/>
      <c r="G33" s="1"/>
      <c r="H33" s="1"/>
      <c r="I33" s="1"/>
      <c r="J33" s="1">
        <f>SUM(J26:J31)</f>
        <v>200</v>
      </c>
      <c r="K33" s="94">
        <f>J38/J26</f>
        <v>21</v>
      </c>
      <c r="L33" s="1"/>
    </row>
    <row r="34" spans="2:12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3">
      <c r="B38" s="1"/>
      <c r="C38" s="1"/>
      <c r="D38" s="1"/>
      <c r="E38" s="1"/>
      <c r="F38" s="1"/>
      <c r="G38" s="1"/>
      <c r="H38" s="1"/>
      <c r="I38" s="1"/>
      <c r="J38" s="801">
        <v>1260</v>
      </c>
      <c r="K38" s="801"/>
      <c r="L38" s="1"/>
    </row>
  </sheetData>
  <mergeCells count="4">
    <mergeCell ref="B7:B11"/>
    <mergeCell ref="B16:B21"/>
    <mergeCell ref="B26:B31"/>
    <mergeCell ref="J38:K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Gironi di qualificazione</vt:lpstr>
      <vt:lpstr>Gironi conclusivi</vt:lpstr>
      <vt:lpstr>Foglio1</vt:lpstr>
      <vt:lpstr>'Gironi di qualificazione'!Area_stampa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Noli</dc:creator>
  <cp:lastModifiedBy>Pietro Noli</cp:lastModifiedBy>
  <cp:lastPrinted>2024-07-28T16:37:02Z</cp:lastPrinted>
  <dcterms:created xsi:type="dcterms:W3CDTF">2018-03-11T09:12:48Z</dcterms:created>
  <dcterms:modified xsi:type="dcterms:W3CDTF">2026-05-18T08:21:08Z</dcterms:modified>
</cp:coreProperties>
</file>